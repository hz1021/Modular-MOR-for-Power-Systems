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g319_ic_ac_uk/Documents/MOR4PowerSystem/Simulation/excel_sheets/"/>
    </mc:Choice>
  </mc:AlternateContent>
  <xr:revisionPtr revIDLastSave="605" documentId="8_{5EA2DAF9-639A-4730-9FC1-7D3D5D75942F}" xr6:coauthVersionLast="47" xr6:coauthVersionMax="47" xr10:uidLastSave="{1A941A12-A0D7-42F2-A52F-68EC07E14E42}"/>
  <bookViews>
    <workbookView xWindow="-120" yWindow="-120" windowWidth="38640" windowHeight="15720" tabRatio="729" xr2:uid="{00000000-000D-0000-FFFF-FFFF00000000}"/>
  </bookViews>
  <sheets>
    <sheet name="system_data" sheetId="1" r:id="rId1"/>
    <sheet name="branch_data" sheetId="3" r:id="rId2"/>
    <sheet name="Bus &amp; Device Tag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3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L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M121" i="1"/>
  <c r="H121" i="1"/>
</calcChain>
</file>

<file path=xl/sharedStrings.xml><?xml version="1.0" encoding="utf-8"?>
<sst xmlns="http://schemas.openxmlformats.org/spreadsheetml/2006/main" count="53" uniqueCount="49">
  <si>
    <t>From Bus</t>
  </si>
  <si>
    <t>To Bus</t>
  </si>
  <si>
    <t>Common to both GFL and GFM</t>
  </si>
  <si>
    <t>GFM only</t>
  </si>
  <si>
    <t>GFL only</t>
  </si>
  <si>
    <t>PLL-kp</t>
  </si>
  <si>
    <t>PLL-ki</t>
  </si>
  <si>
    <t>P-kp</t>
  </si>
  <si>
    <t>P-ki</t>
  </si>
  <si>
    <t>QV-kp</t>
  </si>
  <si>
    <t>QV-ki</t>
  </si>
  <si>
    <t>Bus
Number</t>
  </si>
  <si>
    <t>V
(p.u.)</t>
  </si>
  <si>
    <t>P
(p.u.)</t>
  </si>
  <si>
    <t>Q
(p.u.)</t>
  </si>
  <si>
    <t>Bf
(p.u.)</t>
  </si>
  <si>
    <t>i-Loop-BW
(Hz)</t>
  </si>
  <si>
    <t>P-meas-BW
(Hz)</t>
  </si>
  <si>
    <t>Dpw or
Dwp</t>
  </si>
  <si>
    <t>Dqv or
Dvq</t>
  </si>
  <si>
    <t>delta
(degrees)</t>
  </si>
  <si>
    <t>Phase Margin
(degrees)</t>
  </si>
  <si>
    <t>Bus data</t>
  </si>
  <si>
    <t>PLL-LPF-BW
(Hz)</t>
  </si>
  <si>
    <t>R
(p.u.)</t>
  </si>
  <si>
    <t>X
(p.u.)</t>
  </si>
  <si>
    <t>Bc
(p.u.)</t>
  </si>
  <si>
    <t>QV-meas-BW
(Hz)</t>
  </si>
  <si>
    <t>Device Tag</t>
  </si>
  <si>
    <t>Infinite bus</t>
  </si>
  <si>
    <t>Floating bus</t>
  </si>
  <si>
    <t>GFL</t>
  </si>
  <si>
    <t>GFM</t>
  </si>
  <si>
    <t>Bus
Tag</t>
  </si>
  <si>
    <t>Device
Tag</t>
  </si>
  <si>
    <t>Slack</t>
  </si>
  <si>
    <t>PV bus</t>
  </si>
  <si>
    <t>PQ bus</t>
  </si>
  <si>
    <t>Bus Tag</t>
  </si>
  <si>
    <t>Based on bus and device tags, system_data sheet enables easy data entry.</t>
  </si>
  <si>
    <t>Load</t>
  </si>
  <si>
    <t>Load type</t>
  </si>
  <si>
    <t>P load type</t>
  </si>
  <si>
    <t>Q load type</t>
  </si>
  <si>
    <t>0 for constant power, 1 for constant current, 2 for constant impedance</t>
  </si>
  <si>
    <t>Filter capacitor and droop base values</t>
  </si>
  <si>
    <t>Power factor</t>
  </si>
  <si>
    <t>Rated power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</si>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</sst>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2"/>
      <name val="等线"/>
      <family val="2"/>
      <scheme val="minor"/>
    </font>
    <font>
      <sz val="9"/>
      <color theme="1"/>
      <name val="等线"/>
      <family val="2"/>
      <scheme val="minor"/>
    </font>
    <font>
      <b/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</cellXfs>
  <cellStyles count="1">
    <cellStyle name="常规" xfId="0" builtinId="0"/>
  </cellStyles>
  <dxfs count="31"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TableStyle="TableStyleMedium2" defaultPivotStyle="PivotStyleLight16"/>
  <colors>
    <mruColors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4"/>
  <sheetViews>
    <sheetView tabSelected="1" topLeftCell="A128" zoomScaleNormal="100" workbookViewId="0">
      <selection activeCell="E153" sqref="E153"/>
    </sheetView>
  </sheetViews>
  <sheetFormatPr defaultColWidth="9" defaultRowHeight="14.25"/>
  <cols>
    <col min="1" max="1" width="7.875" style="1" bestFit="1" customWidth="1"/>
    <col min="2" max="3" width="7.5" style="1" customWidth="1"/>
    <col min="4" max="4" width="8" style="1" bestFit="1" customWidth="1"/>
    <col min="5" max="5" width="8.5" style="1" bestFit="1" customWidth="1"/>
    <col min="6" max="6" width="7.5" style="1" customWidth="1"/>
    <col min="7" max="7" width="7.5" style="6" customWidth="1"/>
    <col min="8" max="8" width="7.5" style="4" customWidth="1"/>
    <col min="9" max="9" width="9" style="1" bestFit="1" customWidth="1"/>
    <col min="10" max="10" width="9.875" style="1" bestFit="1" customWidth="1"/>
    <col min="11" max="11" width="12" style="1" customWidth="1"/>
    <col min="12" max="12" width="7.5" style="1" customWidth="1"/>
    <col min="13" max="13" width="7.5" style="5" customWidth="1"/>
    <col min="14" max="14" width="11.5" style="6" bestFit="1" customWidth="1"/>
    <col min="15" max="15" width="7.5" style="4" customWidth="1"/>
    <col min="16" max="16" width="7.5" style="1" customWidth="1"/>
    <col min="17" max="17" width="10" style="1" customWidth="1"/>
    <col min="18" max="20" width="7.5" style="1" customWidth="1"/>
    <col min="21" max="21" width="7.5" style="5" customWidth="1"/>
    <col min="22" max="22" width="10.875" style="1" bestFit="1" customWidth="1"/>
    <col min="23" max="23" width="11.125" style="1" bestFit="1" customWidth="1"/>
    <col min="24" max="24" width="10.875" style="1" customWidth="1"/>
    <col min="25" max="25" width="12.5" style="1" customWidth="1"/>
    <col min="26" max="26" width="14.5" style="1" customWidth="1"/>
    <col min="27" max="27" width="10.625" style="1" customWidth="1"/>
    <col min="28" max="16384" width="9" style="1"/>
  </cols>
  <sheetData>
    <row r="1" spans="1:29" ht="15.75" customHeight="1">
      <c r="A1" s="47" t="s">
        <v>22</v>
      </c>
      <c r="B1" s="48"/>
      <c r="C1" s="48"/>
      <c r="D1" s="48"/>
      <c r="E1" s="48"/>
      <c r="F1" s="48"/>
      <c r="G1" s="49"/>
      <c r="H1" s="44" t="s">
        <v>2</v>
      </c>
      <c r="I1" s="45"/>
      <c r="J1" s="45"/>
      <c r="K1" s="45"/>
      <c r="L1" s="45"/>
      <c r="M1" s="46"/>
      <c r="N1" s="26" t="s">
        <v>3</v>
      </c>
      <c r="O1" s="41" t="s">
        <v>4</v>
      </c>
      <c r="P1" s="42"/>
      <c r="Q1" s="42"/>
      <c r="R1" s="42"/>
      <c r="S1" s="42"/>
      <c r="T1" s="42"/>
      <c r="U1" s="43"/>
      <c r="V1" s="50" t="s">
        <v>41</v>
      </c>
      <c r="W1" s="51"/>
      <c r="X1" s="52" t="s">
        <v>45</v>
      </c>
      <c r="Y1" s="52"/>
      <c r="Z1" s="52"/>
      <c r="AA1" s="52"/>
      <c r="AB1" s="52"/>
    </row>
    <row r="2" spans="1:29" ht="37.15" customHeight="1" thickBot="1">
      <c r="A2" s="13" t="s">
        <v>11</v>
      </c>
      <c r="B2" s="14" t="s">
        <v>33</v>
      </c>
      <c r="C2" s="14" t="s">
        <v>12</v>
      </c>
      <c r="D2" s="14" t="s">
        <v>20</v>
      </c>
      <c r="E2" s="14" t="s">
        <v>13</v>
      </c>
      <c r="F2" s="21" t="s">
        <v>14</v>
      </c>
      <c r="G2" s="16" t="s">
        <v>34</v>
      </c>
      <c r="H2" s="13" t="s">
        <v>15</v>
      </c>
      <c r="I2" s="14" t="s">
        <v>16</v>
      </c>
      <c r="J2" s="14" t="s">
        <v>17</v>
      </c>
      <c r="K2" s="14" t="s">
        <v>27</v>
      </c>
      <c r="L2" s="14" t="s">
        <v>18</v>
      </c>
      <c r="M2" s="15" t="s">
        <v>19</v>
      </c>
      <c r="N2" s="16" t="s">
        <v>21</v>
      </c>
      <c r="O2" s="17" t="s">
        <v>5</v>
      </c>
      <c r="P2" s="18" t="s">
        <v>6</v>
      </c>
      <c r="Q2" s="14" t="s">
        <v>23</v>
      </c>
      <c r="R2" s="18" t="s">
        <v>7</v>
      </c>
      <c r="S2" s="18" t="s">
        <v>8</v>
      </c>
      <c r="T2" s="18" t="s">
        <v>9</v>
      </c>
      <c r="U2" s="19" t="s">
        <v>10</v>
      </c>
      <c r="V2" s="18" t="s">
        <v>42</v>
      </c>
      <c r="W2" s="18" t="s">
        <v>43</v>
      </c>
      <c r="X2" s="13" t="s">
        <v>15</v>
      </c>
      <c r="Y2" s="14" t="s">
        <v>18</v>
      </c>
      <c r="Z2" s="15" t="s">
        <v>19</v>
      </c>
      <c r="AA2" s="15" t="s">
        <v>46</v>
      </c>
      <c r="AB2" s="15" t="s">
        <v>47</v>
      </c>
      <c r="AC2" s="1" t="s">
        <v>48</v>
      </c>
    </row>
    <row r="3" spans="1:29" ht="15" thickTop="1">
      <c r="A3" s="9">
        <v>1</v>
      </c>
      <c r="B3" s="10">
        <v>1</v>
      </c>
      <c r="C3" s="10">
        <v>1</v>
      </c>
      <c r="D3" s="10">
        <v>0</v>
      </c>
      <c r="E3" s="10">
        <f>-0.51</f>
        <v>-0.51</v>
      </c>
      <c r="F3" s="22">
        <v>-0.27</v>
      </c>
      <c r="G3" s="27">
        <v>12</v>
      </c>
      <c r="H3" s="9"/>
      <c r="I3" s="10"/>
      <c r="J3" s="10"/>
      <c r="K3" s="10"/>
      <c r="L3" s="10"/>
      <c r="M3" s="11"/>
      <c r="N3" s="12"/>
      <c r="O3" s="9"/>
      <c r="P3" s="10"/>
      <c r="Q3" s="10"/>
      <c r="R3" s="10"/>
      <c r="S3" s="10"/>
      <c r="T3" s="10"/>
      <c r="U3" s="11"/>
      <c r="V3" s="11">
        <v>2</v>
      </c>
      <c r="W3" s="11">
        <v>2</v>
      </c>
      <c r="X3" s="9"/>
      <c r="Y3" s="9"/>
      <c r="Z3" s="9"/>
      <c r="AA3" s="9"/>
      <c r="AB3" s="9"/>
      <c r="AC3" s="1">
        <v>1</v>
      </c>
    </row>
    <row r="4" spans="1:29">
      <c r="A4" s="7">
        <v>2</v>
      </c>
      <c r="B4" s="8">
        <v>1</v>
      </c>
      <c r="C4" s="8">
        <v>1</v>
      </c>
      <c r="D4" s="8">
        <v>0</v>
      </c>
      <c r="E4" s="8">
        <v>-0.2</v>
      </c>
      <c r="F4" s="23">
        <v>-0.09</v>
      </c>
      <c r="G4" s="28">
        <v>12</v>
      </c>
      <c r="H4" s="9"/>
      <c r="I4" s="10"/>
      <c r="J4" s="10"/>
      <c r="K4" s="10"/>
      <c r="L4" s="10"/>
      <c r="M4" s="11"/>
      <c r="N4" s="12"/>
      <c r="O4" s="9"/>
      <c r="P4" s="10"/>
      <c r="Q4" s="10"/>
      <c r="R4" s="10"/>
      <c r="S4" s="10"/>
      <c r="T4" s="10"/>
      <c r="U4" s="11"/>
      <c r="V4" s="11">
        <v>2</v>
      </c>
      <c r="W4" s="11">
        <v>2</v>
      </c>
      <c r="X4" s="9"/>
      <c r="Y4" s="9"/>
      <c r="Z4" s="9"/>
      <c r="AA4" s="9"/>
      <c r="AB4" s="9"/>
      <c r="AC4" s="1">
        <v>1</v>
      </c>
    </row>
    <row r="5" spans="1:29">
      <c r="A5" s="7">
        <v>3</v>
      </c>
      <c r="B5" s="8">
        <v>1</v>
      </c>
      <c r="C5" s="8">
        <v>1</v>
      </c>
      <c r="D5" s="8">
        <v>0</v>
      </c>
      <c r="E5" s="8">
        <f>-0.39</f>
        <v>-0.39</v>
      </c>
      <c r="F5" s="23">
        <v>-0.1</v>
      </c>
      <c r="G5" s="28">
        <v>12</v>
      </c>
      <c r="H5" s="7"/>
      <c r="V5" s="1">
        <v>2</v>
      </c>
      <c r="W5" s="1">
        <v>2</v>
      </c>
      <c r="AC5" s="1">
        <v>1</v>
      </c>
    </row>
    <row r="6" spans="1:29">
      <c r="A6" s="7">
        <v>4</v>
      </c>
      <c r="B6" s="8">
        <v>1</v>
      </c>
      <c r="C6" s="8">
        <v>1</v>
      </c>
      <c r="D6" s="8">
        <v>0</v>
      </c>
      <c r="E6" s="8">
        <v>-0.39</v>
      </c>
      <c r="F6" s="23">
        <v>-0.12</v>
      </c>
      <c r="G6" s="28">
        <v>12</v>
      </c>
      <c r="H6" s="9"/>
      <c r="I6" s="10"/>
      <c r="J6" s="10"/>
      <c r="K6" s="10"/>
      <c r="L6" s="10"/>
      <c r="M6" s="11"/>
      <c r="N6" s="12"/>
      <c r="O6" s="9"/>
      <c r="P6" s="10"/>
      <c r="Q6" s="10"/>
      <c r="R6" s="10"/>
      <c r="S6" s="10"/>
      <c r="T6" s="10"/>
      <c r="U6" s="11"/>
      <c r="V6" s="11">
        <v>2</v>
      </c>
      <c r="W6" s="11">
        <v>2</v>
      </c>
      <c r="AC6" s="1">
        <v>1</v>
      </c>
    </row>
    <row r="7" spans="1:29">
      <c r="A7" s="7">
        <v>5</v>
      </c>
      <c r="B7" s="8">
        <v>1</v>
      </c>
      <c r="C7" s="8">
        <v>1</v>
      </c>
      <c r="D7" s="8">
        <v>0</v>
      </c>
      <c r="E7" s="8">
        <v>0</v>
      </c>
      <c r="F7" s="23">
        <v>0</v>
      </c>
      <c r="G7" s="28">
        <v>11</v>
      </c>
      <c r="H7" s="9"/>
      <c r="I7" s="10"/>
      <c r="J7" s="10"/>
      <c r="K7" s="10"/>
      <c r="L7" s="10"/>
      <c r="M7" s="11"/>
      <c r="N7" s="12"/>
      <c r="O7" s="9"/>
      <c r="P7" s="10"/>
      <c r="Q7" s="10"/>
      <c r="R7" s="10"/>
      <c r="S7" s="10"/>
      <c r="T7" s="10"/>
      <c r="U7" s="11"/>
      <c r="V7" s="11"/>
      <c r="W7" s="11"/>
      <c r="AC7" s="1">
        <v>1</v>
      </c>
    </row>
    <row r="8" spans="1:29">
      <c r="A8" s="7">
        <v>6</v>
      </c>
      <c r="B8" s="8">
        <v>1</v>
      </c>
      <c r="C8" s="8">
        <v>1</v>
      </c>
      <c r="D8" s="8">
        <v>0</v>
      </c>
      <c r="E8" s="8">
        <v>-0.52</v>
      </c>
      <c r="F8" s="23">
        <v>-0.22</v>
      </c>
      <c r="G8" s="28">
        <v>12</v>
      </c>
      <c r="H8" s="9"/>
      <c r="I8" s="10"/>
      <c r="J8" s="10"/>
      <c r="K8" s="10"/>
      <c r="L8" s="10"/>
      <c r="M8" s="11"/>
      <c r="N8" s="12"/>
      <c r="O8" s="9"/>
      <c r="P8" s="10"/>
      <c r="Q8" s="10"/>
      <c r="R8" s="10"/>
      <c r="S8" s="10"/>
      <c r="T8" s="10"/>
      <c r="U8" s="11"/>
      <c r="V8" s="11">
        <v>2</v>
      </c>
      <c r="W8" s="11">
        <v>2</v>
      </c>
      <c r="AC8" s="1">
        <v>1</v>
      </c>
    </row>
    <row r="9" spans="1:29">
      <c r="A9" s="7">
        <v>7</v>
      </c>
      <c r="B9" s="8">
        <v>1</v>
      </c>
      <c r="C9" s="8">
        <v>1</v>
      </c>
      <c r="D9" s="8">
        <v>0</v>
      </c>
      <c r="E9" s="8">
        <v>-0.19</v>
      </c>
      <c r="F9" s="23">
        <v>-0.02</v>
      </c>
      <c r="G9" s="28">
        <v>12</v>
      </c>
      <c r="H9" s="9"/>
      <c r="I9" s="10"/>
      <c r="J9" s="10"/>
      <c r="K9" s="10"/>
      <c r="L9" s="10"/>
      <c r="M9" s="11"/>
      <c r="N9" s="12"/>
      <c r="O9" s="9"/>
      <c r="P9" s="10"/>
      <c r="Q9" s="10"/>
      <c r="R9" s="10"/>
      <c r="S9" s="10"/>
      <c r="T9" s="10"/>
      <c r="U9" s="11"/>
      <c r="V9" s="11">
        <v>2</v>
      </c>
      <c r="W9" s="11">
        <v>2</v>
      </c>
      <c r="AC9" s="1">
        <v>1</v>
      </c>
    </row>
    <row r="10" spans="1:29">
      <c r="A10" s="7">
        <v>8</v>
      </c>
      <c r="B10" s="8">
        <v>1</v>
      </c>
      <c r="C10" s="8">
        <v>1</v>
      </c>
      <c r="D10" s="8">
        <v>0</v>
      </c>
      <c r="E10" s="8">
        <v>-0.28000000000000003</v>
      </c>
      <c r="F10" s="23">
        <v>0</v>
      </c>
      <c r="G10" s="28">
        <v>12</v>
      </c>
      <c r="H10" s="9"/>
      <c r="I10" s="10"/>
      <c r="J10" s="10"/>
      <c r="K10" s="10"/>
      <c r="L10" s="10"/>
      <c r="M10" s="11"/>
      <c r="N10" s="12"/>
      <c r="O10" s="9"/>
      <c r="P10" s="10"/>
      <c r="Q10" s="10"/>
      <c r="R10" s="10"/>
      <c r="S10" s="10"/>
      <c r="T10" s="10"/>
      <c r="U10" s="11"/>
      <c r="V10" s="11">
        <v>2</v>
      </c>
      <c r="W10" s="11">
        <v>2</v>
      </c>
      <c r="AC10" s="1">
        <v>1</v>
      </c>
    </row>
    <row r="11" spans="1:29">
      <c r="A11" s="7">
        <v>9</v>
      </c>
      <c r="B11" s="8">
        <v>1</v>
      </c>
      <c r="C11" s="8">
        <v>1</v>
      </c>
      <c r="D11" s="8">
        <v>0</v>
      </c>
      <c r="E11" s="8">
        <v>0</v>
      </c>
      <c r="F11" s="23">
        <v>0</v>
      </c>
      <c r="G11" s="28">
        <v>11</v>
      </c>
      <c r="H11" s="9"/>
      <c r="I11" s="10"/>
      <c r="J11" s="10"/>
      <c r="K11" s="10"/>
      <c r="L11" s="10"/>
      <c r="M11" s="11"/>
      <c r="N11" s="12"/>
      <c r="O11" s="9"/>
      <c r="P11" s="10"/>
      <c r="Q11" s="10"/>
      <c r="R11" s="10"/>
      <c r="S11" s="10"/>
      <c r="T11" s="10"/>
      <c r="U11" s="11"/>
      <c r="V11" s="11"/>
      <c r="W11" s="11"/>
      <c r="AC11" s="1">
        <v>1</v>
      </c>
    </row>
    <row r="12" spans="1:29">
      <c r="A12" s="7">
        <v>10</v>
      </c>
      <c r="B12" s="8">
        <v>1</v>
      </c>
      <c r="C12" s="8">
        <v>1</v>
      </c>
      <c r="D12" s="8">
        <v>0</v>
      </c>
      <c r="E12" s="8">
        <v>0</v>
      </c>
      <c r="F12" s="23">
        <v>0</v>
      </c>
      <c r="G12" s="28">
        <v>11</v>
      </c>
      <c r="H12" s="9"/>
      <c r="I12" s="10"/>
      <c r="J12" s="10"/>
      <c r="K12" s="10"/>
      <c r="L12" s="10"/>
      <c r="M12" s="11"/>
      <c r="N12" s="12"/>
      <c r="O12" s="9"/>
      <c r="P12" s="10"/>
      <c r="Q12" s="10"/>
      <c r="R12" s="10"/>
      <c r="S12" s="10"/>
      <c r="T12" s="10"/>
      <c r="U12" s="11"/>
      <c r="V12" s="11"/>
      <c r="W12" s="11"/>
      <c r="AC12" s="1">
        <v>1</v>
      </c>
    </row>
    <row r="13" spans="1:29">
      <c r="A13" s="7">
        <v>11</v>
      </c>
      <c r="B13" s="8">
        <v>1</v>
      </c>
      <c r="C13" s="8">
        <v>1</v>
      </c>
      <c r="D13" s="8">
        <v>0</v>
      </c>
      <c r="E13" s="8">
        <v>-0.7</v>
      </c>
      <c r="F13" s="23">
        <v>-0.23</v>
      </c>
      <c r="G13" s="28">
        <v>12</v>
      </c>
      <c r="H13" s="9"/>
      <c r="I13" s="10"/>
      <c r="J13" s="10"/>
      <c r="K13" s="10"/>
      <c r="L13" s="10"/>
      <c r="M13" s="11"/>
      <c r="N13" s="12"/>
      <c r="O13" s="9"/>
      <c r="P13" s="10"/>
      <c r="Q13" s="10"/>
      <c r="R13" s="10"/>
      <c r="S13" s="10"/>
      <c r="T13" s="10"/>
      <c r="U13" s="11"/>
      <c r="V13" s="11">
        <v>2</v>
      </c>
      <c r="W13" s="11">
        <v>2</v>
      </c>
      <c r="AC13" s="1">
        <v>1</v>
      </c>
    </row>
    <row r="14" spans="1:29">
      <c r="A14" s="7">
        <v>12</v>
      </c>
      <c r="B14" s="8">
        <v>1</v>
      </c>
      <c r="C14" s="8">
        <v>1</v>
      </c>
      <c r="D14" s="8">
        <v>0</v>
      </c>
      <c r="E14" s="8">
        <v>-0.47</v>
      </c>
      <c r="F14" s="23">
        <v>-0.1</v>
      </c>
      <c r="G14" s="28">
        <v>12</v>
      </c>
      <c r="H14" s="9"/>
      <c r="I14" s="10"/>
      <c r="J14" s="10"/>
      <c r="K14" s="10"/>
      <c r="L14" s="10"/>
      <c r="M14" s="11"/>
      <c r="N14" s="12"/>
      <c r="O14" s="9"/>
      <c r="P14" s="10"/>
      <c r="Q14" s="10"/>
      <c r="R14" s="10"/>
      <c r="S14" s="10"/>
      <c r="T14" s="10"/>
      <c r="U14" s="11"/>
      <c r="V14" s="11">
        <v>2</v>
      </c>
      <c r="W14" s="11">
        <v>2</v>
      </c>
      <c r="AC14" s="1">
        <v>1</v>
      </c>
    </row>
    <row r="15" spans="1:29">
      <c r="A15" s="7">
        <v>13</v>
      </c>
      <c r="B15" s="8">
        <v>1</v>
      </c>
      <c r="C15" s="8">
        <v>1</v>
      </c>
      <c r="D15" s="8">
        <v>0</v>
      </c>
      <c r="E15" s="8">
        <v>-0.34</v>
      </c>
      <c r="F15" s="23">
        <v>-0.16</v>
      </c>
      <c r="G15" s="28">
        <v>12</v>
      </c>
      <c r="H15" s="9"/>
      <c r="I15" s="10"/>
      <c r="J15" s="10"/>
      <c r="K15" s="10"/>
      <c r="L15" s="10"/>
      <c r="M15" s="11"/>
      <c r="N15" s="12"/>
      <c r="O15" s="9"/>
      <c r="P15" s="10"/>
      <c r="Q15" s="10"/>
      <c r="R15" s="10"/>
      <c r="S15" s="10"/>
      <c r="T15" s="10"/>
      <c r="U15" s="11"/>
      <c r="V15" s="11">
        <v>2</v>
      </c>
      <c r="W15" s="11">
        <v>2</v>
      </c>
      <c r="AC15" s="1">
        <v>1</v>
      </c>
    </row>
    <row r="16" spans="1:29">
      <c r="A16" s="7">
        <v>14</v>
      </c>
      <c r="B16" s="8">
        <v>1</v>
      </c>
      <c r="C16" s="8">
        <v>1</v>
      </c>
      <c r="D16" s="8">
        <v>0</v>
      </c>
      <c r="E16" s="8">
        <v>-0.14000000000000001</v>
      </c>
      <c r="F16" s="23">
        <v>-0.01</v>
      </c>
      <c r="G16" s="28">
        <v>12</v>
      </c>
      <c r="H16" s="9"/>
      <c r="I16" s="10"/>
      <c r="J16" s="10"/>
      <c r="K16" s="10"/>
      <c r="L16" s="10"/>
      <c r="M16" s="11"/>
      <c r="N16" s="12"/>
      <c r="O16" s="9"/>
      <c r="P16" s="10"/>
      <c r="Q16" s="10"/>
      <c r="R16" s="10"/>
      <c r="S16" s="10"/>
      <c r="T16" s="10"/>
      <c r="U16" s="11"/>
      <c r="V16" s="11">
        <v>2</v>
      </c>
      <c r="W16" s="11">
        <v>2</v>
      </c>
      <c r="AC16" s="1">
        <v>1</v>
      </c>
    </row>
    <row r="17" spans="1:29">
      <c r="A17" s="7">
        <v>15</v>
      </c>
      <c r="B17" s="8">
        <v>1</v>
      </c>
      <c r="C17" s="8">
        <v>1</v>
      </c>
      <c r="D17" s="8">
        <v>0</v>
      </c>
      <c r="E17" s="8">
        <v>-0.9</v>
      </c>
      <c r="F17" s="23">
        <v>-0.3</v>
      </c>
      <c r="G17" s="28">
        <v>12</v>
      </c>
      <c r="H17" s="9"/>
      <c r="I17" s="10"/>
      <c r="J17" s="10"/>
      <c r="K17" s="10"/>
      <c r="L17" s="10"/>
      <c r="M17" s="11"/>
      <c r="N17" s="12"/>
      <c r="O17" s="9"/>
      <c r="P17" s="10"/>
      <c r="Q17" s="10"/>
      <c r="R17" s="10"/>
      <c r="S17" s="10"/>
      <c r="T17" s="10"/>
      <c r="U17" s="11"/>
      <c r="V17" s="11">
        <v>2</v>
      </c>
      <c r="W17" s="11">
        <v>2</v>
      </c>
      <c r="AC17" s="1">
        <v>1</v>
      </c>
    </row>
    <row r="18" spans="1:29">
      <c r="A18" s="7">
        <v>16</v>
      </c>
      <c r="B18" s="8">
        <v>1</v>
      </c>
      <c r="C18" s="8">
        <v>1</v>
      </c>
      <c r="D18" s="8">
        <v>0</v>
      </c>
      <c r="E18" s="8">
        <v>-0.25</v>
      </c>
      <c r="F18" s="23">
        <v>-0.1</v>
      </c>
      <c r="G18" s="28">
        <v>12</v>
      </c>
      <c r="H18" s="9"/>
      <c r="I18" s="10"/>
      <c r="J18" s="10"/>
      <c r="K18" s="10"/>
      <c r="L18" s="10"/>
      <c r="M18" s="11"/>
      <c r="N18" s="12"/>
      <c r="O18" s="9"/>
      <c r="P18" s="10"/>
      <c r="Q18" s="10"/>
      <c r="R18" s="10"/>
      <c r="S18" s="10"/>
      <c r="T18" s="10"/>
      <c r="U18" s="11"/>
      <c r="V18" s="11">
        <v>2</v>
      </c>
      <c r="W18" s="11">
        <v>2</v>
      </c>
      <c r="AC18" s="1">
        <v>1</v>
      </c>
    </row>
    <row r="19" spans="1:29">
      <c r="A19" s="7">
        <v>17</v>
      </c>
      <c r="B19" s="8">
        <v>1</v>
      </c>
      <c r="C19" s="8">
        <v>1</v>
      </c>
      <c r="D19" s="8">
        <v>0</v>
      </c>
      <c r="E19" s="8">
        <v>-0.11</v>
      </c>
      <c r="F19" s="23">
        <v>-0.03</v>
      </c>
      <c r="G19" s="28">
        <v>12</v>
      </c>
      <c r="H19" s="9"/>
      <c r="I19" s="10"/>
      <c r="J19" s="10"/>
      <c r="K19" s="10"/>
      <c r="L19" s="10"/>
      <c r="M19" s="11"/>
      <c r="N19" s="12"/>
      <c r="O19" s="9"/>
      <c r="P19" s="10"/>
      <c r="Q19" s="10"/>
      <c r="R19" s="10"/>
      <c r="S19" s="10"/>
      <c r="T19" s="10"/>
      <c r="U19" s="11"/>
      <c r="V19" s="11">
        <v>2</v>
      </c>
      <c r="W19" s="11">
        <v>2</v>
      </c>
      <c r="AC19" s="1">
        <v>1</v>
      </c>
    </row>
    <row r="20" spans="1:29">
      <c r="A20" s="7">
        <v>18</v>
      </c>
      <c r="B20" s="8">
        <v>1</v>
      </c>
      <c r="C20" s="8">
        <v>1</v>
      </c>
      <c r="D20" s="8">
        <v>0</v>
      </c>
      <c r="E20" s="8">
        <v>-0.6</v>
      </c>
      <c r="F20" s="23">
        <v>-0.34</v>
      </c>
      <c r="G20" s="28">
        <v>12</v>
      </c>
      <c r="H20" s="9"/>
      <c r="I20" s="10"/>
      <c r="J20" s="10"/>
      <c r="K20" s="10"/>
      <c r="L20" s="10"/>
      <c r="M20" s="11"/>
      <c r="N20" s="12"/>
      <c r="O20" s="9"/>
      <c r="P20" s="10"/>
      <c r="Q20" s="10"/>
      <c r="R20" s="10"/>
      <c r="S20" s="10"/>
      <c r="T20" s="10"/>
      <c r="U20" s="11"/>
      <c r="V20" s="11">
        <v>2</v>
      </c>
      <c r="W20" s="11">
        <v>2</v>
      </c>
      <c r="AC20" s="1">
        <v>1</v>
      </c>
    </row>
    <row r="21" spans="1:29">
      <c r="A21" s="7">
        <v>19</v>
      </c>
      <c r="B21" s="8">
        <v>1</v>
      </c>
      <c r="C21" s="8">
        <v>1</v>
      </c>
      <c r="D21" s="8">
        <v>0</v>
      </c>
      <c r="E21" s="8">
        <v>-0.45</v>
      </c>
      <c r="F21" s="23">
        <v>-0.25</v>
      </c>
      <c r="G21" s="28">
        <v>12</v>
      </c>
      <c r="H21" s="9"/>
      <c r="I21" s="10"/>
      <c r="J21" s="10"/>
      <c r="K21" s="10"/>
      <c r="L21" s="10"/>
      <c r="M21" s="11"/>
      <c r="N21" s="12"/>
      <c r="O21" s="9"/>
      <c r="P21" s="10"/>
      <c r="Q21" s="10"/>
      <c r="R21" s="10"/>
      <c r="S21" s="10"/>
      <c r="T21" s="10"/>
      <c r="U21" s="11"/>
      <c r="V21" s="11">
        <v>2</v>
      </c>
      <c r="W21" s="11">
        <v>2</v>
      </c>
      <c r="AC21" s="1">
        <v>1</v>
      </c>
    </row>
    <row r="22" spans="1:29">
      <c r="A22" s="3">
        <v>20</v>
      </c>
      <c r="B22" s="2">
        <v>1</v>
      </c>
      <c r="C22" s="2">
        <v>1</v>
      </c>
      <c r="D22" s="2">
        <v>0</v>
      </c>
      <c r="E22" s="2">
        <v>-0.18</v>
      </c>
      <c r="F22" s="24">
        <v>-0.03</v>
      </c>
      <c r="G22" s="34">
        <v>12</v>
      </c>
      <c r="H22" s="9"/>
      <c r="I22" s="10"/>
      <c r="J22" s="10"/>
      <c r="K22" s="10"/>
      <c r="L22" s="10"/>
      <c r="M22" s="11"/>
      <c r="N22" s="12"/>
      <c r="O22" s="9"/>
      <c r="P22" s="10"/>
      <c r="Q22" s="10"/>
      <c r="R22" s="10"/>
      <c r="S22" s="10"/>
      <c r="T22" s="10"/>
      <c r="U22" s="11"/>
      <c r="V22" s="11">
        <v>2</v>
      </c>
      <c r="W22" s="11">
        <v>2</v>
      </c>
      <c r="AC22" s="1">
        <v>1</v>
      </c>
    </row>
    <row r="23" spans="1:29">
      <c r="A23" s="3">
        <v>21</v>
      </c>
      <c r="B23" s="2">
        <v>1</v>
      </c>
      <c r="C23" s="2">
        <v>1</v>
      </c>
      <c r="D23" s="2">
        <v>0</v>
      </c>
      <c r="E23" s="2">
        <v>-0.14000000000000001</v>
      </c>
      <c r="F23" s="24">
        <v>-0.08</v>
      </c>
      <c r="G23" s="34">
        <v>12</v>
      </c>
      <c r="H23" s="9"/>
      <c r="I23" s="10"/>
      <c r="J23" s="10"/>
      <c r="K23" s="10"/>
      <c r="L23" s="10"/>
      <c r="M23" s="11"/>
      <c r="N23" s="12"/>
      <c r="O23" s="9"/>
      <c r="P23" s="10"/>
      <c r="Q23" s="10"/>
      <c r="R23" s="10"/>
      <c r="S23" s="10"/>
      <c r="T23" s="10"/>
      <c r="U23" s="11"/>
      <c r="V23" s="11">
        <v>2</v>
      </c>
      <c r="W23" s="11">
        <v>2</v>
      </c>
      <c r="AC23" s="1">
        <v>1</v>
      </c>
    </row>
    <row r="24" spans="1:29">
      <c r="A24" s="3">
        <v>22</v>
      </c>
      <c r="B24" s="2">
        <v>1</v>
      </c>
      <c r="C24" s="2">
        <v>1</v>
      </c>
      <c r="D24" s="2">
        <v>0</v>
      </c>
      <c r="E24" s="2">
        <v>-0.1</v>
      </c>
      <c r="F24" s="24">
        <v>-0.05</v>
      </c>
      <c r="G24" s="34">
        <v>12</v>
      </c>
      <c r="H24" s="9"/>
      <c r="I24" s="10"/>
      <c r="J24" s="10"/>
      <c r="K24" s="10"/>
      <c r="L24" s="10"/>
      <c r="M24" s="11"/>
      <c r="N24" s="12"/>
      <c r="O24" s="9"/>
      <c r="P24" s="10"/>
      <c r="Q24" s="10"/>
      <c r="R24" s="10"/>
      <c r="S24" s="10"/>
      <c r="T24" s="10"/>
      <c r="U24" s="11"/>
      <c r="V24" s="11">
        <v>2</v>
      </c>
      <c r="W24" s="11">
        <v>2</v>
      </c>
      <c r="AC24" s="1">
        <v>1</v>
      </c>
    </row>
    <row r="25" spans="1:29">
      <c r="A25" s="3">
        <v>23</v>
      </c>
      <c r="B25" s="2">
        <v>1</v>
      </c>
      <c r="C25" s="2">
        <v>1</v>
      </c>
      <c r="D25" s="2">
        <v>0</v>
      </c>
      <c r="E25" s="2">
        <v>-7.0000000000000007E-2</v>
      </c>
      <c r="F25" s="24">
        <v>-0.03</v>
      </c>
      <c r="G25" s="29">
        <v>12</v>
      </c>
      <c r="H25" s="9"/>
      <c r="I25" s="10"/>
      <c r="J25" s="10"/>
      <c r="K25" s="10"/>
      <c r="L25" s="10"/>
      <c r="M25" s="11"/>
      <c r="N25" s="12"/>
      <c r="O25" s="9"/>
      <c r="P25" s="10"/>
      <c r="Q25" s="10"/>
      <c r="R25" s="10"/>
      <c r="S25" s="10"/>
      <c r="T25" s="10"/>
      <c r="U25" s="11"/>
      <c r="V25" s="11">
        <v>2</v>
      </c>
      <c r="W25" s="11">
        <v>2</v>
      </c>
      <c r="AC25" s="1">
        <v>1</v>
      </c>
    </row>
    <row r="26" spans="1:29">
      <c r="A26" s="3">
        <v>24</v>
      </c>
      <c r="B26" s="2">
        <v>1</v>
      </c>
      <c r="C26" s="2">
        <v>1</v>
      </c>
      <c r="D26" s="2">
        <v>0</v>
      </c>
      <c r="E26" s="2">
        <v>-0.13</v>
      </c>
      <c r="F26" s="24">
        <v>0</v>
      </c>
      <c r="G26" s="29">
        <v>12</v>
      </c>
      <c r="H26" s="9"/>
      <c r="I26" s="10"/>
      <c r="J26" s="10"/>
      <c r="K26" s="10"/>
      <c r="L26" s="10"/>
      <c r="M26" s="11"/>
      <c r="N26" s="12"/>
      <c r="O26" s="9"/>
      <c r="P26" s="10"/>
      <c r="Q26" s="10"/>
      <c r="R26" s="10"/>
      <c r="S26" s="10"/>
      <c r="T26" s="10"/>
      <c r="U26" s="11"/>
      <c r="V26" s="11">
        <v>2</v>
      </c>
      <c r="W26" s="11">
        <v>2</v>
      </c>
      <c r="AC26" s="1">
        <v>3</v>
      </c>
    </row>
    <row r="27" spans="1:29">
      <c r="A27" s="3">
        <v>25</v>
      </c>
      <c r="B27" s="2">
        <v>1</v>
      </c>
      <c r="C27" s="2">
        <v>1</v>
      </c>
      <c r="D27" s="2">
        <v>0</v>
      </c>
      <c r="E27" s="2">
        <v>0</v>
      </c>
      <c r="F27" s="24">
        <v>0</v>
      </c>
      <c r="G27" s="29">
        <v>11</v>
      </c>
      <c r="H27" s="9"/>
      <c r="I27" s="10"/>
      <c r="J27" s="10"/>
      <c r="K27" s="10"/>
      <c r="L27" s="10"/>
      <c r="M27" s="11"/>
      <c r="N27" s="12"/>
      <c r="O27" s="9"/>
      <c r="P27" s="10"/>
      <c r="Q27" s="10"/>
      <c r="R27" s="10"/>
      <c r="S27" s="10"/>
      <c r="T27" s="10"/>
      <c r="U27" s="11"/>
      <c r="V27" s="11"/>
      <c r="W27" s="11"/>
      <c r="AC27" s="1">
        <v>1</v>
      </c>
    </row>
    <row r="28" spans="1:29">
      <c r="A28" s="3">
        <v>26</v>
      </c>
      <c r="B28" s="2">
        <v>1</v>
      </c>
      <c r="C28" s="2">
        <v>1</v>
      </c>
      <c r="D28" s="2">
        <v>0</v>
      </c>
      <c r="E28" s="2">
        <v>0</v>
      </c>
      <c r="F28" s="24">
        <v>0</v>
      </c>
      <c r="G28" s="29">
        <v>11</v>
      </c>
      <c r="H28" s="9"/>
      <c r="I28" s="10"/>
      <c r="J28" s="10"/>
      <c r="K28" s="10"/>
      <c r="L28" s="10"/>
      <c r="M28" s="11"/>
      <c r="N28" s="12"/>
      <c r="O28" s="9"/>
      <c r="P28" s="10"/>
      <c r="Q28" s="10"/>
      <c r="R28" s="10"/>
      <c r="S28" s="10"/>
      <c r="T28" s="10"/>
      <c r="U28" s="11"/>
      <c r="V28" s="11"/>
      <c r="W28" s="11"/>
      <c r="AC28" s="1">
        <v>1</v>
      </c>
    </row>
    <row r="29" spans="1:29">
      <c r="A29" s="3">
        <v>27</v>
      </c>
      <c r="B29" s="2">
        <v>1</v>
      </c>
      <c r="C29" s="2">
        <v>1</v>
      </c>
      <c r="D29" s="2">
        <v>0</v>
      </c>
      <c r="E29" s="2">
        <v>-0.71</v>
      </c>
      <c r="F29" s="24">
        <v>-0.13</v>
      </c>
      <c r="G29" s="29">
        <v>12</v>
      </c>
      <c r="H29" s="9"/>
      <c r="I29" s="10"/>
      <c r="J29" s="10"/>
      <c r="K29" s="10"/>
      <c r="L29" s="10"/>
      <c r="M29" s="11"/>
      <c r="N29" s="12"/>
      <c r="O29" s="9"/>
      <c r="P29" s="10"/>
      <c r="Q29" s="10"/>
      <c r="R29" s="10"/>
      <c r="S29" s="10"/>
      <c r="T29" s="10"/>
      <c r="U29" s="11"/>
      <c r="V29" s="11">
        <v>2</v>
      </c>
      <c r="W29" s="11">
        <v>2</v>
      </c>
      <c r="AC29" s="1">
        <v>1</v>
      </c>
    </row>
    <row r="30" spans="1:29">
      <c r="A30" s="3">
        <v>28</v>
      </c>
      <c r="B30" s="2">
        <v>1</v>
      </c>
      <c r="C30" s="2">
        <v>1</v>
      </c>
      <c r="D30" s="2">
        <v>0</v>
      </c>
      <c r="E30" s="2">
        <v>-0.17</v>
      </c>
      <c r="F30" s="24">
        <v>-7.0000000000000007E-2</v>
      </c>
      <c r="G30" s="29">
        <v>12</v>
      </c>
      <c r="H30" s="9"/>
      <c r="I30" s="10"/>
      <c r="J30" s="10"/>
      <c r="K30" s="10"/>
      <c r="L30" s="10"/>
      <c r="M30" s="11"/>
      <c r="N30" s="12"/>
      <c r="O30" s="9"/>
      <c r="P30" s="10"/>
      <c r="Q30" s="10"/>
      <c r="R30" s="10"/>
      <c r="S30" s="10"/>
      <c r="T30" s="10"/>
      <c r="U30" s="11"/>
      <c r="V30" s="11">
        <v>2</v>
      </c>
      <c r="W30" s="11">
        <v>2</v>
      </c>
      <c r="AC30" s="1">
        <v>1</v>
      </c>
    </row>
    <row r="31" spans="1:29">
      <c r="A31" s="3">
        <v>29</v>
      </c>
      <c r="B31" s="2">
        <v>1</v>
      </c>
      <c r="C31" s="2">
        <v>1</v>
      </c>
      <c r="D31" s="2">
        <v>0</v>
      </c>
      <c r="E31" s="2">
        <v>-0.24</v>
      </c>
      <c r="F31" s="24">
        <v>-0.04</v>
      </c>
      <c r="G31" s="29">
        <v>12</v>
      </c>
      <c r="H31" s="9"/>
      <c r="I31" s="10"/>
      <c r="J31" s="10"/>
      <c r="K31" s="10"/>
      <c r="L31" s="10"/>
      <c r="M31" s="11"/>
      <c r="N31" s="12"/>
      <c r="O31" s="9"/>
      <c r="P31" s="10"/>
      <c r="Q31" s="10"/>
      <c r="R31" s="10"/>
      <c r="S31" s="10"/>
      <c r="T31" s="10"/>
      <c r="U31" s="11"/>
      <c r="V31" s="11">
        <v>2</v>
      </c>
      <c r="W31" s="11">
        <v>2</v>
      </c>
      <c r="AC31" s="1">
        <v>1</v>
      </c>
    </row>
    <row r="32" spans="1:29">
      <c r="A32" s="3">
        <v>30</v>
      </c>
      <c r="B32" s="2">
        <v>1</v>
      </c>
      <c r="C32" s="2">
        <v>1.0475000000000001</v>
      </c>
      <c r="D32" s="2">
        <v>0</v>
      </c>
      <c r="E32" s="2">
        <v>0</v>
      </c>
      <c r="F32" s="24">
        <v>0</v>
      </c>
      <c r="G32" s="29">
        <v>11</v>
      </c>
      <c r="H32" s="9"/>
      <c r="I32" s="10"/>
      <c r="J32" s="10"/>
      <c r="K32" s="10"/>
      <c r="L32" s="10"/>
      <c r="M32" s="11"/>
      <c r="N32" s="12"/>
      <c r="O32" s="9"/>
      <c r="P32" s="10"/>
      <c r="Q32" s="10"/>
      <c r="R32" s="10"/>
      <c r="S32" s="10"/>
      <c r="T32" s="10"/>
      <c r="U32" s="11"/>
      <c r="V32" s="11"/>
      <c r="W32" s="11"/>
      <c r="X32" s="39"/>
      <c r="Y32" s="39"/>
      <c r="Z32" s="39"/>
      <c r="AA32" s="39"/>
      <c r="AB32" s="2"/>
      <c r="AC32" s="1">
        <v>1</v>
      </c>
    </row>
    <row r="33" spans="1:29">
      <c r="A33" s="3">
        <v>31</v>
      </c>
      <c r="B33" s="2">
        <v>1</v>
      </c>
      <c r="C33" s="2">
        <v>0.98199999999999998</v>
      </c>
      <c r="D33" s="2">
        <v>0</v>
      </c>
      <c r="E33" s="2">
        <v>-0.43</v>
      </c>
      <c r="F33" s="24">
        <v>-0.27</v>
      </c>
      <c r="G33" s="29">
        <v>12</v>
      </c>
      <c r="H33" s="9"/>
      <c r="I33" s="10"/>
      <c r="J33" s="10"/>
      <c r="K33" s="10"/>
      <c r="L33" s="10"/>
      <c r="M33" s="11"/>
      <c r="N33" s="12"/>
      <c r="O33" s="9"/>
      <c r="P33" s="10"/>
      <c r="Q33" s="10"/>
      <c r="R33" s="10"/>
      <c r="S33" s="10"/>
      <c r="T33" s="10"/>
      <c r="U33" s="11"/>
      <c r="V33" s="11">
        <v>2</v>
      </c>
      <c r="W33" s="11">
        <v>2</v>
      </c>
      <c r="X33" s="9"/>
      <c r="Y33" s="9"/>
      <c r="Z33" s="9"/>
      <c r="AA33" s="9"/>
      <c r="AB33" s="2"/>
      <c r="AC33" s="1">
        <v>1</v>
      </c>
    </row>
    <row r="34" spans="1:29">
      <c r="A34" s="3">
        <v>32</v>
      </c>
      <c r="B34" s="2">
        <v>1</v>
      </c>
      <c r="C34" s="2">
        <v>0.98309999999999997</v>
      </c>
      <c r="D34" s="2">
        <v>0</v>
      </c>
      <c r="E34" s="2">
        <v>-0.59</v>
      </c>
      <c r="F34" s="24">
        <v>-0.23</v>
      </c>
      <c r="G34" s="29">
        <v>12</v>
      </c>
      <c r="H34" s="9"/>
      <c r="I34" s="10"/>
      <c r="J34" s="10"/>
      <c r="K34" s="10"/>
      <c r="L34" s="10"/>
      <c r="M34" s="11"/>
      <c r="N34" s="12"/>
      <c r="O34" s="9"/>
      <c r="P34" s="10"/>
      <c r="Q34" s="10"/>
      <c r="R34" s="10"/>
      <c r="S34" s="10"/>
      <c r="T34" s="10"/>
      <c r="U34" s="11"/>
      <c r="V34" s="11">
        <v>2</v>
      </c>
      <c r="W34" s="11">
        <v>2</v>
      </c>
      <c r="X34" s="9"/>
      <c r="Y34" s="9"/>
      <c r="Z34" s="9"/>
      <c r="AA34" s="9"/>
      <c r="AB34" s="2"/>
      <c r="AC34" s="1">
        <v>1</v>
      </c>
    </row>
    <row r="35" spans="1:29">
      <c r="A35" s="3">
        <v>33</v>
      </c>
      <c r="B35" s="2">
        <v>1</v>
      </c>
      <c r="C35" s="2">
        <v>0.99719999999999998</v>
      </c>
      <c r="D35" s="2">
        <v>0</v>
      </c>
      <c r="E35" s="2">
        <v>-0.23</v>
      </c>
      <c r="F35" s="24">
        <v>-0.09</v>
      </c>
      <c r="G35" s="29">
        <v>12</v>
      </c>
      <c r="H35" s="9"/>
      <c r="I35" s="10"/>
      <c r="J35" s="10"/>
      <c r="K35" s="10"/>
      <c r="L35" s="10"/>
      <c r="M35" s="11"/>
      <c r="N35" s="12"/>
      <c r="O35" s="9"/>
      <c r="P35" s="10"/>
      <c r="Q35" s="10"/>
      <c r="R35" s="10"/>
      <c r="S35" s="10"/>
      <c r="T35" s="10"/>
      <c r="U35" s="11"/>
      <c r="V35" s="11">
        <v>2</v>
      </c>
      <c r="W35" s="11">
        <v>2</v>
      </c>
      <c r="X35" s="9"/>
      <c r="Y35" s="9"/>
      <c r="Z35" s="9"/>
      <c r="AA35" s="9"/>
      <c r="AB35" s="2"/>
      <c r="AC35" s="1">
        <v>2</v>
      </c>
    </row>
    <row r="36" spans="1:29">
      <c r="A36" s="3">
        <v>34</v>
      </c>
      <c r="B36" s="2">
        <v>1</v>
      </c>
      <c r="C36" s="2">
        <v>1.0123</v>
      </c>
      <c r="D36" s="2">
        <v>0</v>
      </c>
      <c r="E36" s="2">
        <v>-0.59</v>
      </c>
      <c r="F36" s="24">
        <v>-0.26</v>
      </c>
      <c r="G36" s="29">
        <v>12</v>
      </c>
      <c r="H36" s="9"/>
      <c r="I36" s="10"/>
      <c r="J36" s="10"/>
      <c r="K36" s="10"/>
      <c r="L36" s="10"/>
      <c r="M36" s="11"/>
      <c r="N36" s="12"/>
      <c r="O36" s="9"/>
      <c r="P36" s="10"/>
      <c r="Q36" s="10"/>
      <c r="R36" s="10"/>
      <c r="S36" s="10"/>
      <c r="T36" s="10"/>
      <c r="U36" s="11"/>
      <c r="V36" s="11">
        <v>2</v>
      </c>
      <c r="W36" s="11">
        <v>2</v>
      </c>
      <c r="X36" s="9"/>
      <c r="Y36" s="9"/>
      <c r="Z36" s="9"/>
      <c r="AA36" s="9"/>
      <c r="AB36" s="2"/>
      <c r="AC36" s="1">
        <v>2</v>
      </c>
    </row>
    <row r="37" spans="1:29">
      <c r="A37" s="3">
        <v>35</v>
      </c>
      <c r="B37" s="2">
        <v>1</v>
      </c>
      <c r="C37" s="2">
        <v>1.0492999999999999</v>
      </c>
      <c r="D37" s="2">
        <v>0</v>
      </c>
      <c r="E37" s="2">
        <v>-0.33</v>
      </c>
      <c r="F37" s="24">
        <v>-0.09</v>
      </c>
      <c r="G37" s="29">
        <v>12</v>
      </c>
      <c r="H37" s="9"/>
      <c r="I37" s="10"/>
      <c r="J37" s="10"/>
      <c r="K37" s="10"/>
      <c r="L37" s="10"/>
      <c r="M37" s="11"/>
      <c r="N37" s="12"/>
      <c r="O37" s="9"/>
      <c r="P37" s="10"/>
      <c r="Q37" s="10"/>
      <c r="R37" s="10"/>
      <c r="S37" s="10"/>
      <c r="T37" s="10"/>
      <c r="U37" s="11"/>
      <c r="V37" s="11">
        <v>2</v>
      </c>
      <c r="W37" s="11">
        <v>2</v>
      </c>
      <c r="X37" s="9"/>
      <c r="Y37" s="9"/>
      <c r="Z37" s="9"/>
      <c r="AA37" s="9"/>
      <c r="AB37" s="2"/>
      <c r="AC37" s="1">
        <v>2</v>
      </c>
    </row>
    <row r="38" spans="1:29">
      <c r="A38" s="3">
        <v>36</v>
      </c>
      <c r="B38" s="2">
        <v>1</v>
      </c>
      <c r="C38" s="2">
        <v>1.0634999999999999</v>
      </c>
      <c r="D38" s="2">
        <v>0</v>
      </c>
      <c r="E38" s="2">
        <v>-0.31</v>
      </c>
      <c r="F38" s="24">
        <v>-0.17</v>
      </c>
      <c r="G38" s="29">
        <v>12</v>
      </c>
      <c r="H38" s="9"/>
      <c r="I38" s="10"/>
      <c r="J38" s="10"/>
      <c r="K38" s="10"/>
      <c r="L38" s="10"/>
      <c r="M38" s="11"/>
      <c r="N38" s="12"/>
      <c r="O38" s="9"/>
      <c r="P38" s="10"/>
      <c r="Q38" s="10"/>
      <c r="R38" s="10"/>
      <c r="S38" s="10"/>
      <c r="T38" s="10"/>
      <c r="U38" s="11"/>
      <c r="V38" s="11">
        <v>2</v>
      </c>
      <c r="W38" s="11">
        <v>2</v>
      </c>
      <c r="X38" s="9"/>
      <c r="Y38" s="9"/>
      <c r="Z38" s="9"/>
      <c r="AA38" s="9"/>
      <c r="AB38" s="2"/>
      <c r="AC38" s="1">
        <v>2</v>
      </c>
    </row>
    <row r="39" spans="1:29">
      <c r="A39" s="3">
        <v>37</v>
      </c>
      <c r="B39" s="2">
        <v>1</v>
      </c>
      <c r="C39" s="2">
        <v>1.0278</v>
      </c>
      <c r="D39" s="2">
        <v>0</v>
      </c>
      <c r="E39" s="2">
        <v>0</v>
      </c>
      <c r="F39" s="24">
        <v>0</v>
      </c>
      <c r="G39" s="29">
        <v>11</v>
      </c>
      <c r="H39" s="9"/>
      <c r="I39" s="10"/>
      <c r="J39" s="10"/>
      <c r="K39" s="10"/>
      <c r="L39" s="10"/>
      <c r="M39" s="11"/>
      <c r="N39" s="12"/>
      <c r="O39" s="9"/>
      <c r="P39" s="10"/>
      <c r="Q39" s="10"/>
      <c r="R39" s="10"/>
      <c r="S39" s="10"/>
      <c r="T39" s="10"/>
      <c r="U39" s="11"/>
      <c r="V39" s="11"/>
      <c r="W39" s="11"/>
      <c r="X39" s="9"/>
      <c r="Y39" s="9"/>
      <c r="Z39" s="9"/>
      <c r="AA39" s="9"/>
      <c r="AB39" s="2"/>
      <c r="AC39" s="1">
        <v>2</v>
      </c>
    </row>
    <row r="40" spans="1:29">
      <c r="A40" s="3">
        <v>38</v>
      </c>
      <c r="B40" s="2">
        <v>1</v>
      </c>
      <c r="C40" s="2">
        <v>1.0265</v>
      </c>
      <c r="D40" s="2">
        <v>0</v>
      </c>
      <c r="E40" s="2">
        <v>0</v>
      </c>
      <c r="F40" s="24">
        <v>0</v>
      </c>
      <c r="G40" s="29">
        <v>11</v>
      </c>
      <c r="H40" s="9"/>
      <c r="I40" s="10"/>
      <c r="J40" s="10"/>
      <c r="K40" s="10"/>
      <c r="L40" s="10"/>
      <c r="M40" s="11"/>
      <c r="N40" s="12"/>
      <c r="O40" s="9"/>
      <c r="P40" s="10"/>
      <c r="Q40" s="10"/>
      <c r="R40" s="10"/>
      <c r="S40" s="10"/>
      <c r="T40" s="10"/>
      <c r="U40" s="11"/>
      <c r="V40" s="11"/>
      <c r="W40" s="11"/>
      <c r="X40" s="9"/>
      <c r="Y40" s="9"/>
      <c r="Z40" s="9"/>
      <c r="AA40" s="9"/>
      <c r="AB40" s="2"/>
      <c r="AC40" s="1">
        <v>2</v>
      </c>
    </row>
    <row r="41" spans="1:29">
      <c r="A41" s="3">
        <v>39</v>
      </c>
      <c r="B41" s="2">
        <v>1</v>
      </c>
      <c r="C41" s="2">
        <v>1.03</v>
      </c>
      <c r="D41" s="2">
        <v>0</v>
      </c>
      <c r="E41" s="2">
        <v>-0.27</v>
      </c>
      <c r="F41" s="24">
        <v>-0.11</v>
      </c>
      <c r="G41" s="29">
        <v>12</v>
      </c>
      <c r="H41" s="9"/>
      <c r="I41" s="10"/>
      <c r="J41" s="10"/>
      <c r="K41" s="10"/>
      <c r="L41" s="10"/>
      <c r="M41" s="11"/>
      <c r="N41" s="12"/>
      <c r="O41" s="9"/>
      <c r="P41" s="10"/>
      <c r="Q41" s="10"/>
      <c r="R41" s="10"/>
      <c r="S41" s="10"/>
      <c r="T41" s="10"/>
      <c r="U41" s="11"/>
      <c r="V41" s="11">
        <v>2</v>
      </c>
      <c r="W41" s="11">
        <v>2</v>
      </c>
      <c r="X41" s="9"/>
      <c r="Y41" s="9"/>
      <c r="Z41" s="9"/>
      <c r="AA41" s="9"/>
      <c r="AB41" s="2"/>
      <c r="AC41" s="1">
        <v>2</v>
      </c>
    </row>
    <row r="42" spans="1:29">
      <c r="A42" s="3">
        <v>40</v>
      </c>
      <c r="B42" s="2">
        <v>1</v>
      </c>
      <c r="C42" s="2">
        <v>1</v>
      </c>
      <c r="D42" s="2">
        <v>0</v>
      </c>
      <c r="E42" s="2">
        <v>-0.66</v>
      </c>
      <c r="F42" s="24">
        <v>-0.23</v>
      </c>
      <c r="G42" s="29">
        <v>12</v>
      </c>
      <c r="H42" s="9"/>
      <c r="I42" s="10"/>
      <c r="J42" s="10"/>
      <c r="K42" s="10"/>
      <c r="L42" s="10"/>
      <c r="M42" s="11"/>
      <c r="N42" s="12"/>
      <c r="O42" s="9"/>
      <c r="P42" s="10"/>
      <c r="Q42" s="10"/>
      <c r="R42" s="10"/>
      <c r="S42" s="10"/>
      <c r="T42" s="10"/>
      <c r="U42" s="11"/>
      <c r="V42" s="11">
        <v>2</v>
      </c>
      <c r="W42" s="11">
        <v>2</v>
      </c>
      <c r="AC42" s="1">
        <v>2</v>
      </c>
    </row>
    <row r="43" spans="1:29">
      <c r="A43" s="3">
        <v>41</v>
      </c>
      <c r="B43" s="2">
        <v>1</v>
      </c>
      <c r="C43" s="2">
        <v>1</v>
      </c>
      <c r="D43" s="2">
        <v>0</v>
      </c>
      <c r="E43" s="2">
        <v>-0.37</v>
      </c>
      <c r="F43" s="24">
        <v>-0.1</v>
      </c>
      <c r="G43" s="29">
        <v>12</v>
      </c>
      <c r="H43" s="9"/>
      <c r="I43" s="10"/>
      <c r="J43" s="10"/>
      <c r="K43" s="10"/>
      <c r="L43" s="10"/>
      <c r="M43" s="11"/>
      <c r="N43" s="12"/>
      <c r="O43" s="9"/>
      <c r="P43" s="10"/>
      <c r="Q43" s="10"/>
      <c r="R43" s="10"/>
      <c r="S43" s="10"/>
      <c r="T43" s="10"/>
      <c r="U43" s="11"/>
      <c r="V43" s="11">
        <v>2</v>
      </c>
      <c r="W43" s="11">
        <v>2</v>
      </c>
      <c r="AC43" s="1">
        <v>2</v>
      </c>
    </row>
    <row r="44" spans="1:29">
      <c r="A44" s="3">
        <v>42</v>
      </c>
      <c r="B44" s="2">
        <v>1</v>
      </c>
      <c r="C44" s="2">
        <v>1</v>
      </c>
      <c r="D44" s="2">
        <v>0</v>
      </c>
      <c r="E44" s="2">
        <v>-0.96</v>
      </c>
      <c r="F44" s="24">
        <v>-0.23</v>
      </c>
      <c r="G44" s="29">
        <v>12</v>
      </c>
      <c r="H44" s="9"/>
      <c r="I44" s="10"/>
      <c r="J44" s="10"/>
      <c r="K44" s="10"/>
      <c r="L44" s="10"/>
      <c r="M44" s="11"/>
      <c r="N44" s="12"/>
      <c r="O44" s="9"/>
      <c r="P44" s="10"/>
      <c r="Q44" s="10"/>
      <c r="R44" s="10"/>
      <c r="S44" s="10"/>
      <c r="T44" s="10"/>
      <c r="U44" s="11"/>
      <c r="V44" s="11">
        <v>2</v>
      </c>
      <c r="W44" s="11">
        <v>2</v>
      </c>
      <c r="AC44" s="1">
        <v>2</v>
      </c>
    </row>
    <row r="45" spans="1:29">
      <c r="A45" s="9">
        <v>43</v>
      </c>
      <c r="B45" s="2">
        <v>1</v>
      </c>
      <c r="C45" s="2"/>
      <c r="D45" s="2"/>
      <c r="E45" s="2">
        <v>-0.18</v>
      </c>
      <c r="F45" s="24">
        <v>-7.0000000000000007E-2</v>
      </c>
      <c r="G45" s="29">
        <v>12</v>
      </c>
      <c r="H45" s="9"/>
      <c r="I45" s="10"/>
      <c r="J45" s="10"/>
      <c r="K45" s="10"/>
      <c r="L45" s="10"/>
      <c r="M45" s="11"/>
      <c r="N45" s="12"/>
      <c r="O45" s="9"/>
      <c r="P45" s="10"/>
      <c r="Q45" s="10"/>
      <c r="R45" s="10"/>
      <c r="S45" s="10"/>
      <c r="T45" s="10"/>
      <c r="U45" s="11"/>
      <c r="V45" s="11">
        <v>2</v>
      </c>
      <c r="W45" s="11">
        <v>2</v>
      </c>
      <c r="AC45" s="1">
        <v>2</v>
      </c>
    </row>
    <row r="46" spans="1:29">
      <c r="A46" s="7">
        <v>44</v>
      </c>
      <c r="B46" s="2">
        <v>1</v>
      </c>
      <c r="C46" s="2"/>
      <c r="D46" s="2"/>
      <c r="E46" s="2">
        <v>-0.16</v>
      </c>
      <c r="F46" s="24">
        <v>-0.08</v>
      </c>
      <c r="G46" s="29">
        <v>12</v>
      </c>
      <c r="H46" s="9"/>
      <c r="I46" s="10"/>
      <c r="J46" s="10"/>
      <c r="K46" s="10"/>
      <c r="L46" s="10"/>
      <c r="M46" s="11"/>
      <c r="N46" s="12"/>
      <c r="O46" s="9"/>
      <c r="P46" s="10"/>
      <c r="Q46" s="10"/>
      <c r="R46" s="10"/>
      <c r="S46" s="10"/>
      <c r="T46" s="10"/>
      <c r="U46" s="11"/>
      <c r="V46" s="11">
        <v>2</v>
      </c>
      <c r="W46" s="11">
        <v>2</v>
      </c>
      <c r="AC46" s="1">
        <v>2</v>
      </c>
    </row>
    <row r="47" spans="1:29" ht="15" thickBot="1">
      <c r="A47" s="7">
        <v>45</v>
      </c>
      <c r="B47" s="2">
        <v>1</v>
      </c>
      <c r="C47" s="20"/>
      <c r="D47" s="20"/>
      <c r="E47" s="20">
        <v>-0.53</v>
      </c>
      <c r="F47" s="25">
        <v>-0.22</v>
      </c>
      <c r="G47" s="29">
        <v>12</v>
      </c>
      <c r="H47" s="9"/>
      <c r="I47" s="10"/>
      <c r="J47" s="10"/>
      <c r="K47" s="10"/>
      <c r="L47" s="10"/>
      <c r="M47" s="11"/>
      <c r="N47" s="12"/>
      <c r="O47" s="9"/>
      <c r="P47" s="10"/>
      <c r="Q47" s="10"/>
      <c r="R47" s="10"/>
      <c r="S47" s="10"/>
      <c r="T47" s="10"/>
      <c r="U47" s="11"/>
      <c r="V47" s="11">
        <v>2</v>
      </c>
      <c r="W47" s="11">
        <v>2</v>
      </c>
      <c r="AC47" s="1">
        <v>2</v>
      </c>
    </row>
    <row r="48" spans="1:29">
      <c r="A48" s="7">
        <v>46</v>
      </c>
      <c r="B48" s="2">
        <v>1</v>
      </c>
      <c r="E48" s="1">
        <v>-0.28000000000000003</v>
      </c>
      <c r="F48" s="1">
        <v>-0.1</v>
      </c>
      <c r="G48" s="6">
        <v>12</v>
      </c>
      <c r="V48" s="1">
        <v>2</v>
      </c>
      <c r="W48" s="1">
        <v>2</v>
      </c>
      <c r="AC48" s="1">
        <v>2</v>
      </c>
    </row>
    <row r="49" spans="1:29">
      <c r="A49" s="7">
        <v>47</v>
      </c>
      <c r="B49" s="2">
        <v>1</v>
      </c>
      <c r="E49" s="1">
        <v>-0.34</v>
      </c>
      <c r="F49" s="1">
        <v>0</v>
      </c>
      <c r="G49" s="6">
        <v>12</v>
      </c>
      <c r="V49" s="1">
        <v>2</v>
      </c>
      <c r="W49" s="1">
        <v>2</v>
      </c>
      <c r="AC49" s="1">
        <v>2</v>
      </c>
    </row>
    <row r="50" spans="1:29">
      <c r="A50" s="7">
        <v>48</v>
      </c>
      <c r="B50" s="2">
        <v>1</v>
      </c>
      <c r="E50" s="1">
        <v>-0.2</v>
      </c>
      <c r="F50" s="1">
        <v>-0.11</v>
      </c>
      <c r="G50" s="6">
        <v>12</v>
      </c>
      <c r="V50" s="1">
        <v>2</v>
      </c>
      <c r="W50" s="1">
        <v>2</v>
      </c>
      <c r="AC50" s="1">
        <v>2</v>
      </c>
    </row>
    <row r="51" spans="1:29">
      <c r="A51" s="7">
        <v>49</v>
      </c>
      <c r="B51" s="2">
        <v>1</v>
      </c>
      <c r="E51" s="1">
        <v>-0.87</v>
      </c>
      <c r="F51" s="1">
        <v>-0.3</v>
      </c>
      <c r="G51" s="6">
        <v>12</v>
      </c>
      <c r="V51" s="1">
        <v>2</v>
      </c>
      <c r="W51" s="1">
        <v>2</v>
      </c>
      <c r="AC51" s="1">
        <v>2</v>
      </c>
    </row>
    <row r="52" spans="1:29">
      <c r="A52" s="7">
        <v>50</v>
      </c>
      <c r="B52" s="2">
        <v>1</v>
      </c>
      <c r="E52" s="1">
        <v>-0.17</v>
      </c>
      <c r="F52" s="1">
        <v>-0.04</v>
      </c>
      <c r="G52" s="6">
        <v>12</v>
      </c>
      <c r="V52" s="1">
        <v>2</v>
      </c>
      <c r="W52" s="1">
        <v>2</v>
      </c>
      <c r="AC52" s="1">
        <v>2</v>
      </c>
    </row>
    <row r="53" spans="1:29">
      <c r="A53" s="7">
        <v>51</v>
      </c>
      <c r="B53" s="2">
        <v>1</v>
      </c>
      <c r="E53" s="1">
        <v>-0.17</v>
      </c>
      <c r="F53" s="1">
        <v>-0.08</v>
      </c>
      <c r="G53" s="6">
        <v>12</v>
      </c>
      <c r="V53" s="1">
        <v>2</v>
      </c>
      <c r="W53" s="1">
        <v>2</v>
      </c>
      <c r="AC53" s="1">
        <v>2</v>
      </c>
    </row>
    <row r="54" spans="1:29">
      <c r="A54" s="7">
        <v>52</v>
      </c>
      <c r="B54" s="2">
        <v>1</v>
      </c>
      <c r="E54" s="1">
        <v>-0.18</v>
      </c>
      <c r="F54" s="1">
        <v>-0.05</v>
      </c>
      <c r="G54" s="6">
        <v>12</v>
      </c>
      <c r="V54" s="1">
        <v>2</v>
      </c>
      <c r="W54" s="1">
        <v>2</v>
      </c>
      <c r="AC54" s="1">
        <v>2</v>
      </c>
    </row>
    <row r="55" spans="1:29">
      <c r="A55" s="7">
        <v>53</v>
      </c>
      <c r="B55" s="2">
        <v>1</v>
      </c>
      <c r="E55" s="1">
        <v>-0.23</v>
      </c>
      <c r="F55" s="1">
        <v>-0.11</v>
      </c>
      <c r="G55" s="6">
        <v>12</v>
      </c>
      <c r="V55" s="1">
        <v>2</v>
      </c>
      <c r="W55" s="1">
        <v>2</v>
      </c>
      <c r="AC55" s="1">
        <v>2</v>
      </c>
    </row>
    <row r="56" spans="1:29">
      <c r="A56" s="7">
        <v>54</v>
      </c>
      <c r="B56" s="2">
        <v>1</v>
      </c>
      <c r="E56" s="1">
        <v>-1.1299999999999999</v>
      </c>
      <c r="F56" s="1">
        <v>-0.32</v>
      </c>
      <c r="G56" s="6">
        <v>12</v>
      </c>
      <c r="V56" s="1">
        <v>2</v>
      </c>
      <c r="W56" s="1">
        <v>2</v>
      </c>
      <c r="AC56" s="1">
        <v>2</v>
      </c>
    </row>
    <row r="57" spans="1:29">
      <c r="A57" s="7">
        <v>55</v>
      </c>
      <c r="B57" s="2">
        <v>1</v>
      </c>
      <c r="E57" s="1">
        <v>-0.63</v>
      </c>
      <c r="F57" s="1">
        <v>-0.22</v>
      </c>
      <c r="G57" s="6">
        <v>12</v>
      </c>
      <c r="V57" s="1">
        <v>2</v>
      </c>
      <c r="W57" s="1">
        <v>2</v>
      </c>
      <c r="AC57" s="1">
        <v>2</v>
      </c>
    </row>
    <row r="58" spans="1:29">
      <c r="A58" s="7">
        <v>56</v>
      </c>
      <c r="B58" s="2">
        <v>1</v>
      </c>
      <c r="E58" s="1">
        <v>-0.84</v>
      </c>
      <c r="F58" s="1">
        <v>-0.18</v>
      </c>
      <c r="G58" s="6">
        <v>12</v>
      </c>
      <c r="V58" s="1">
        <v>2</v>
      </c>
      <c r="W58" s="1">
        <v>2</v>
      </c>
      <c r="AC58" s="1">
        <v>2</v>
      </c>
    </row>
    <row r="59" spans="1:29">
      <c r="A59" s="7">
        <v>57</v>
      </c>
      <c r="B59" s="2">
        <v>1</v>
      </c>
      <c r="E59" s="1">
        <v>-0.12</v>
      </c>
      <c r="F59" s="1">
        <v>-0.03</v>
      </c>
      <c r="G59" s="6">
        <v>12</v>
      </c>
      <c r="V59" s="1">
        <v>2</v>
      </c>
      <c r="W59" s="1">
        <v>2</v>
      </c>
      <c r="AC59" s="1">
        <v>2</v>
      </c>
    </row>
    <row r="60" spans="1:29">
      <c r="A60" s="7">
        <v>58</v>
      </c>
      <c r="B60" s="2">
        <v>1</v>
      </c>
      <c r="E60" s="1">
        <v>-0.12</v>
      </c>
      <c r="F60" s="1">
        <v>-0.03</v>
      </c>
      <c r="G60" s="6">
        <v>12</v>
      </c>
      <c r="V60" s="1">
        <v>2</v>
      </c>
      <c r="W60" s="1">
        <v>2</v>
      </c>
      <c r="AC60" s="1">
        <v>2</v>
      </c>
    </row>
    <row r="61" spans="1:29">
      <c r="A61" s="7">
        <v>59</v>
      </c>
      <c r="B61" s="2">
        <v>1</v>
      </c>
      <c r="E61" s="1">
        <v>-2.77</v>
      </c>
      <c r="F61" s="1">
        <v>-1.1299999999999999</v>
      </c>
      <c r="G61" s="6">
        <v>12</v>
      </c>
      <c r="V61" s="1">
        <v>2</v>
      </c>
      <c r="W61" s="1">
        <v>2</v>
      </c>
      <c r="AC61" s="1">
        <v>2</v>
      </c>
    </row>
    <row r="62" spans="1:29">
      <c r="A62" s="7">
        <v>60</v>
      </c>
      <c r="B62" s="2">
        <v>1</v>
      </c>
      <c r="E62" s="1">
        <v>-0.78</v>
      </c>
      <c r="F62" s="1">
        <v>-0.03</v>
      </c>
      <c r="G62" s="6">
        <v>12</v>
      </c>
      <c r="V62" s="1">
        <v>2</v>
      </c>
      <c r="W62" s="1">
        <v>2</v>
      </c>
      <c r="AC62" s="1">
        <v>2</v>
      </c>
    </row>
    <row r="63" spans="1:29">
      <c r="A63" s="7">
        <v>61</v>
      </c>
      <c r="B63" s="2">
        <v>1</v>
      </c>
      <c r="E63" s="1">
        <v>0</v>
      </c>
      <c r="F63" s="1">
        <v>0</v>
      </c>
      <c r="G63" s="6">
        <v>11</v>
      </c>
      <c r="AC63" s="1">
        <v>2</v>
      </c>
    </row>
    <row r="64" spans="1:29">
      <c r="A64" s="3">
        <v>62</v>
      </c>
      <c r="B64" s="2">
        <v>1</v>
      </c>
      <c r="E64" s="1">
        <v>-0.77</v>
      </c>
      <c r="F64" s="1">
        <v>-0.14000000000000001</v>
      </c>
      <c r="G64" s="6">
        <v>12</v>
      </c>
      <c r="V64" s="1">
        <v>2</v>
      </c>
      <c r="W64" s="1">
        <v>2</v>
      </c>
      <c r="AC64" s="1">
        <v>2</v>
      </c>
    </row>
    <row r="65" spans="1:29">
      <c r="A65" s="3">
        <v>63</v>
      </c>
      <c r="B65" s="2">
        <v>1</v>
      </c>
      <c r="E65" s="1">
        <v>0</v>
      </c>
      <c r="F65" s="1">
        <v>0</v>
      </c>
      <c r="G65" s="6">
        <v>11</v>
      </c>
      <c r="AC65" s="1">
        <v>2</v>
      </c>
    </row>
    <row r="66" spans="1:29">
      <c r="A66" s="3">
        <v>64</v>
      </c>
      <c r="B66" s="2">
        <v>1</v>
      </c>
      <c r="E66" s="1">
        <v>0</v>
      </c>
      <c r="F66" s="1">
        <v>0</v>
      </c>
      <c r="G66" s="6">
        <v>11</v>
      </c>
      <c r="AC66" s="1">
        <v>2</v>
      </c>
    </row>
    <row r="67" spans="1:29">
      <c r="A67" s="3">
        <v>65</v>
      </c>
      <c r="B67" s="2">
        <v>1</v>
      </c>
      <c r="E67" s="1">
        <v>0</v>
      </c>
      <c r="F67" s="1">
        <v>0</v>
      </c>
      <c r="G67" s="6">
        <v>11</v>
      </c>
      <c r="AC67" s="1">
        <v>2</v>
      </c>
    </row>
    <row r="68" spans="1:29">
      <c r="A68" s="3">
        <v>66</v>
      </c>
      <c r="B68" s="2">
        <v>1</v>
      </c>
      <c r="E68" s="1">
        <v>-0.39</v>
      </c>
      <c r="F68" s="1">
        <v>-0.18</v>
      </c>
      <c r="G68" s="6">
        <v>12</v>
      </c>
      <c r="V68" s="1">
        <v>2</v>
      </c>
      <c r="W68" s="1">
        <v>2</v>
      </c>
      <c r="AC68" s="1">
        <v>2</v>
      </c>
    </row>
    <row r="69" spans="1:29">
      <c r="A69" s="3">
        <v>67</v>
      </c>
      <c r="B69" s="2">
        <v>1</v>
      </c>
      <c r="E69" s="1">
        <v>-0.28000000000000003</v>
      </c>
      <c r="F69" s="1">
        <v>-7.0000000000000007E-2</v>
      </c>
      <c r="G69" s="6">
        <v>12</v>
      </c>
      <c r="V69" s="1">
        <v>2</v>
      </c>
      <c r="W69" s="1">
        <v>2</v>
      </c>
      <c r="AC69" s="1">
        <v>2</v>
      </c>
    </row>
    <row r="70" spans="1:29">
      <c r="A70" s="3">
        <v>68</v>
      </c>
      <c r="B70" s="2">
        <v>1</v>
      </c>
      <c r="E70" s="1">
        <v>0</v>
      </c>
      <c r="F70" s="1">
        <v>0</v>
      </c>
      <c r="G70" s="6">
        <v>11</v>
      </c>
      <c r="AC70" s="1">
        <v>2</v>
      </c>
    </row>
    <row r="71" spans="1:29">
      <c r="A71" s="3">
        <v>69</v>
      </c>
      <c r="B71" s="2">
        <v>1</v>
      </c>
      <c r="E71" s="1">
        <v>0</v>
      </c>
      <c r="F71" s="1">
        <v>0</v>
      </c>
      <c r="G71" s="6">
        <v>11</v>
      </c>
      <c r="AC71" s="1">
        <v>2</v>
      </c>
    </row>
    <row r="72" spans="1:29">
      <c r="A72" s="3">
        <v>70</v>
      </c>
      <c r="B72" s="2">
        <v>1</v>
      </c>
      <c r="E72" s="1">
        <v>-0.66</v>
      </c>
      <c r="F72" s="1">
        <v>-0.2</v>
      </c>
      <c r="G72" s="6">
        <v>12</v>
      </c>
      <c r="V72" s="1">
        <v>2</v>
      </c>
      <c r="W72" s="1">
        <v>2</v>
      </c>
      <c r="AC72" s="1">
        <v>2</v>
      </c>
    </row>
    <row r="73" spans="1:29">
      <c r="A73" s="3">
        <v>71</v>
      </c>
      <c r="B73" s="2">
        <v>1</v>
      </c>
      <c r="E73" s="1">
        <v>0</v>
      </c>
      <c r="F73" s="1">
        <v>0</v>
      </c>
      <c r="G73" s="6">
        <v>11</v>
      </c>
      <c r="AC73" s="1">
        <v>2</v>
      </c>
    </row>
    <row r="74" spans="1:29">
      <c r="A74" s="3">
        <v>72</v>
      </c>
      <c r="B74" s="2">
        <v>1</v>
      </c>
      <c r="E74" s="1">
        <v>-0.12</v>
      </c>
      <c r="F74" s="1">
        <v>0</v>
      </c>
      <c r="G74" s="6">
        <v>12</v>
      </c>
      <c r="V74" s="1">
        <v>2</v>
      </c>
      <c r="W74" s="1">
        <v>2</v>
      </c>
      <c r="AC74" s="1">
        <v>3</v>
      </c>
    </row>
    <row r="75" spans="1:29">
      <c r="A75" s="3">
        <v>73</v>
      </c>
      <c r="B75" s="2">
        <v>1</v>
      </c>
      <c r="E75" s="1">
        <v>-0.06</v>
      </c>
      <c r="F75" s="1">
        <v>0</v>
      </c>
      <c r="G75" s="6">
        <v>12</v>
      </c>
      <c r="V75" s="1">
        <v>2</v>
      </c>
      <c r="W75" s="1">
        <v>2</v>
      </c>
      <c r="AC75" s="1">
        <v>2</v>
      </c>
    </row>
    <row r="76" spans="1:29">
      <c r="A76" s="3">
        <v>74</v>
      </c>
      <c r="B76" s="2">
        <v>1</v>
      </c>
      <c r="E76" s="1">
        <v>-0.68</v>
      </c>
      <c r="F76" s="1">
        <v>-0.27</v>
      </c>
      <c r="G76" s="6">
        <v>12</v>
      </c>
      <c r="V76" s="1">
        <v>2</v>
      </c>
      <c r="W76" s="1">
        <v>2</v>
      </c>
      <c r="AC76" s="1">
        <v>2</v>
      </c>
    </row>
    <row r="77" spans="1:29">
      <c r="A77" s="3">
        <v>75</v>
      </c>
      <c r="B77" s="2">
        <v>1</v>
      </c>
      <c r="E77" s="1">
        <v>-0.47</v>
      </c>
      <c r="F77" s="1">
        <v>-0.11</v>
      </c>
      <c r="G77" s="6">
        <v>12</v>
      </c>
      <c r="V77" s="1">
        <v>2</v>
      </c>
      <c r="W77" s="1">
        <v>2</v>
      </c>
      <c r="AC77" s="1">
        <v>2</v>
      </c>
    </row>
    <row r="78" spans="1:29">
      <c r="A78" s="3">
        <v>76</v>
      </c>
      <c r="B78" s="2">
        <v>1</v>
      </c>
      <c r="E78" s="1">
        <v>-0.68</v>
      </c>
      <c r="F78" s="1">
        <v>-0.36</v>
      </c>
      <c r="G78" s="6">
        <v>12</v>
      </c>
      <c r="V78" s="1">
        <v>2</v>
      </c>
      <c r="W78" s="1">
        <v>2</v>
      </c>
      <c r="AC78" s="1">
        <v>2</v>
      </c>
    </row>
    <row r="79" spans="1:29">
      <c r="A79" s="3">
        <v>77</v>
      </c>
      <c r="B79" s="2">
        <v>1</v>
      </c>
      <c r="E79" s="1">
        <v>-0.61</v>
      </c>
      <c r="F79" s="1">
        <v>-0.28000000000000003</v>
      </c>
      <c r="G79" s="6">
        <v>12</v>
      </c>
      <c r="V79" s="1">
        <v>2</v>
      </c>
      <c r="W79" s="1">
        <v>2</v>
      </c>
      <c r="AC79" s="1">
        <v>2</v>
      </c>
    </row>
    <row r="80" spans="1:29">
      <c r="A80" s="3">
        <v>78</v>
      </c>
      <c r="B80" s="2">
        <v>1</v>
      </c>
      <c r="E80" s="1">
        <v>-0.71</v>
      </c>
      <c r="F80" s="1">
        <v>-0.26</v>
      </c>
      <c r="G80" s="6">
        <v>12</v>
      </c>
      <c r="V80" s="1">
        <v>2</v>
      </c>
      <c r="W80" s="1">
        <v>2</v>
      </c>
      <c r="AC80" s="1">
        <v>2</v>
      </c>
    </row>
    <row r="81" spans="1:29">
      <c r="A81" s="3">
        <v>79</v>
      </c>
      <c r="B81" s="2">
        <v>1</v>
      </c>
      <c r="E81" s="1">
        <v>-0.39</v>
      </c>
      <c r="F81" s="1">
        <v>-0.32</v>
      </c>
      <c r="G81" s="6">
        <v>12</v>
      </c>
      <c r="V81" s="1">
        <v>2</v>
      </c>
      <c r="W81" s="1">
        <v>2</v>
      </c>
      <c r="AC81" s="1">
        <v>2</v>
      </c>
    </row>
    <row r="82" spans="1:29">
      <c r="A82" s="3">
        <v>80</v>
      </c>
      <c r="B82" s="2">
        <v>1</v>
      </c>
      <c r="E82" s="1">
        <v>-1.3</v>
      </c>
      <c r="F82" s="1">
        <v>-0.26</v>
      </c>
      <c r="G82" s="6">
        <v>12</v>
      </c>
      <c r="V82" s="1">
        <v>2</v>
      </c>
      <c r="W82" s="1">
        <v>2</v>
      </c>
      <c r="AC82" s="1">
        <v>2</v>
      </c>
    </row>
    <row r="83" spans="1:29">
      <c r="A83" s="3">
        <v>81</v>
      </c>
      <c r="B83" s="2">
        <v>1</v>
      </c>
      <c r="E83" s="1">
        <v>0</v>
      </c>
      <c r="F83" s="1">
        <v>0</v>
      </c>
      <c r="G83" s="6">
        <v>11</v>
      </c>
      <c r="AC83" s="1">
        <v>2</v>
      </c>
    </row>
    <row r="84" spans="1:29">
      <c r="A84" s="3">
        <v>82</v>
      </c>
      <c r="B84" s="2">
        <v>1</v>
      </c>
      <c r="E84" s="1">
        <v>-0.54</v>
      </c>
      <c r="F84" s="1">
        <v>-0.27</v>
      </c>
      <c r="G84" s="6">
        <v>12</v>
      </c>
      <c r="V84" s="1">
        <v>2</v>
      </c>
      <c r="W84" s="1">
        <v>2</v>
      </c>
      <c r="AC84" s="1">
        <v>2</v>
      </c>
    </row>
    <row r="85" spans="1:29">
      <c r="A85" s="3">
        <v>83</v>
      </c>
      <c r="B85" s="2">
        <v>1</v>
      </c>
      <c r="E85" s="1">
        <v>-0.2</v>
      </c>
      <c r="F85" s="1">
        <v>-0.1</v>
      </c>
      <c r="G85" s="6">
        <v>12</v>
      </c>
      <c r="V85" s="1">
        <v>2</v>
      </c>
      <c r="W85" s="1">
        <v>2</v>
      </c>
      <c r="AC85" s="1">
        <v>2</v>
      </c>
    </row>
    <row r="86" spans="1:29">
      <c r="A86" s="3">
        <v>84</v>
      </c>
      <c r="B86" s="2">
        <v>1</v>
      </c>
      <c r="E86" s="1">
        <v>-0.11</v>
      </c>
      <c r="F86" s="1">
        <v>-7.0000000000000007E-2</v>
      </c>
      <c r="G86" s="6">
        <v>12</v>
      </c>
      <c r="V86" s="1">
        <v>2</v>
      </c>
      <c r="W86" s="1">
        <v>2</v>
      </c>
      <c r="AC86" s="1">
        <v>2</v>
      </c>
    </row>
    <row r="87" spans="1:29">
      <c r="A87" s="9">
        <v>85</v>
      </c>
      <c r="B87" s="2">
        <v>1</v>
      </c>
      <c r="E87" s="1">
        <v>-0.24</v>
      </c>
      <c r="F87" s="1">
        <v>-0.15</v>
      </c>
      <c r="G87" s="6">
        <v>12</v>
      </c>
      <c r="V87" s="1">
        <v>2</v>
      </c>
      <c r="W87" s="1">
        <v>2</v>
      </c>
      <c r="AC87" s="1">
        <v>2</v>
      </c>
    </row>
    <row r="88" spans="1:29">
      <c r="A88" s="7">
        <v>86</v>
      </c>
      <c r="B88" s="2">
        <v>1</v>
      </c>
      <c r="E88" s="1">
        <v>-0.21</v>
      </c>
      <c r="F88" s="1">
        <v>-0.1</v>
      </c>
      <c r="G88" s="6">
        <v>12</v>
      </c>
      <c r="V88" s="1">
        <v>2</v>
      </c>
      <c r="W88" s="1">
        <v>2</v>
      </c>
      <c r="AC88" s="1">
        <v>2</v>
      </c>
    </row>
    <row r="89" spans="1:29">
      <c r="A89" s="7">
        <v>87</v>
      </c>
      <c r="B89" s="2">
        <v>1</v>
      </c>
      <c r="E89" s="1">
        <v>0</v>
      </c>
      <c r="F89" s="1">
        <v>0</v>
      </c>
      <c r="G89" s="6">
        <v>11</v>
      </c>
      <c r="AC89" s="1">
        <v>2</v>
      </c>
    </row>
    <row r="90" spans="1:29">
      <c r="A90" s="7">
        <v>88</v>
      </c>
      <c r="B90" s="2">
        <v>1</v>
      </c>
      <c r="E90" s="1">
        <v>-0.48</v>
      </c>
      <c r="F90" s="1">
        <v>-0.1</v>
      </c>
      <c r="G90" s="6">
        <v>12</v>
      </c>
      <c r="V90" s="1">
        <v>2</v>
      </c>
      <c r="W90" s="1">
        <v>2</v>
      </c>
      <c r="AC90" s="1">
        <v>2</v>
      </c>
    </row>
    <row r="91" spans="1:29">
      <c r="A91" s="7">
        <v>89</v>
      </c>
      <c r="B91" s="2">
        <v>1</v>
      </c>
      <c r="E91" s="1">
        <v>0</v>
      </c>
      <c r="F91" s="1">
        <v>0</v>
      </c>
      <c r="G91" s="6">
        <v>11</v>
      </c>
      <c r="AC91" s="1">
        <v>2</v>
      </c>
    </row>
    <row r="92" spans="1:29">
      <c r="A92" s="7">
        <v>90</v>
      </c>
      <c r="B92" s="2">
        <v>1</v>
      </c>
      <c r="E92" s="1">
        <v>-1.63</v>
      </c>
      <c r="F92" s="1">
        <v>-0.42</v>
      </c>
      <c r="G92" s="6">
        <v>12</v>
      </c>
      <c r="V92" s="1">
        <v>2</v>
      </c>
      <c r="W92" s="1">
        <v>2</v>
      </c>
      <c r="AC92" s="1">
        <v>2</v>
      </c>
    </row>
    <row r="93" spans="1:29">
      <c r="A93" s="7">
        <v>91</v>
      </c>
      <c r="B93" s="2">
        <v>1</v>
      </c>
      <c r="E93" s="1">
        <v>-0.1</v>
      </c>
      <c r="F93" s="1">
        <v>0</v>
      </c>
      <c r="G93" s="6">
        <v>12</v>
      </c>
      <c r="V93" s="1">
        <v>2</v>
      </c>
      <c r="W93" s="1">
        <v>2</v>
      </c>
      <c r="AC93" s="1">
        <v>2</v>
      </c>
    </row>
    <row r="94" spans="1:29">
      <c r="A94" s="7">
        <v>92</v>
      </c>
      <c r="B94" s="2">
        <v>1</v>
      </c>
      <c r="E94" s="1">
        <v>-0.65</v>
      </c>
      <c r="F94" s="1">
        <v>-0.1</v>
      </c>
      <c r="G94" s="6">
        <v>12</v>
      </c>
      <c r="V94" s="1">
        <v>2</v>
      </c>
      <c r="W94" s="1">
        <v>2</v>
      </c>
      <c r="AC94" s="1">
        <v>2</v>
      </c>
    </row>
    <row r="95" spans="1:29">
      <c r="A95" s="7">
        <v>93</v>
      </c>
      <c r="B95" s="2">
        <v>1</v>
      </c>
      <c r="E95" s="1">
        <v>-0.12</v>
      </c>
      <c r="F95" s="1">
        <v>-7.0000000000000007E-2</v>
      </c>
      <c r="G95" s="6">
        <v>12</v>
      </c>
      <c r="V95" s="1">
        <v>2</v>
      </c>
      <c r="W95" s="1">
        <v>2</v>
      </c>
      <c r="AC95" s="1">
        <v>2</v>
      </c>
    </row>
    <row r="96" spans="1:29">
      <c r="A96" s="7">
        <v>94</v>
      </c>
      <c r="B96" s="2">
        <v>1</v>
      </c>
      <c r="E96" s="1">
        <v>-0.3</v>
      </c>
      <c r="F96" s="1">
        <v>-0.16</v>
      </c>
      <c r="G96" s="6">
        <v>12</v>
      </c>
      <c r="V96" s="1">
        <v>2</v>
      </c>
      <c r="W96" s="1">
        <v>2</v>
      </c>
      <c r="AC96" s="1">
        <v>2</v>
      </c>
    </row>
    <row r="97" spans="1:29">
      <c r="A97" s="7">
        <v>95</v>
      </c>
      <c r="B97" s="2">
        <v>1</v>
      </c>
      <c r="E97" s="1">
        <v>-0.42</v>
      </c>
      <c r="F97" s="1">
        <v>-0.31</v>
      </c>
      <c r="G97" s="6">
        <v>12</v>
      </c>
      <c r="V97" s="1">
        <v>2</v>
      </c>
      <c r="W97" s="1">
        <v>2</v>
      </c>
      <c r="AC97" s="1">
        <v>2</v>
      </c>
    </row>
    <row r="98" spans="1:29">
      <c r="A98" s="7">
        <v>96</v>
      </c>
      <c r="B98" s="2">
        <v>1</v>
      </c>
      <c r="E98" s="1">
        <v>-0.38</v>
      </c>
      <c r="F98" s="1">
        <v>-0.15</v>
      </c>
      <c r="G98" s="6">
        <v>12</v>
      </c>
      <c r="V98" s="1">
        <v>2</v>
      </c>
      <c r="W98" s="1">
        <v>2</v>
      </c>
      <c r="AC98" s="1">
        <v>2</v>
      </c>
    </row>
    <row r="99" spans="1:29">
      <c r="A99" s="7">
        <v>97</v>
      </c>
      <c r="B99" s="2">
        <v>1</v>
      </c>
      <c r="E99" s="1">
        <v>-0.15</v>
      </c>
      <c r="F99" s="1">
        <v>-0.09</v>
      </c>
      <c r="G99" s="6">
        <v>12</v>
      </c>
      <c r="V99" s="1">
        <v>2</v>
      </c>
      <c r="W99" s="1">
        <v>2</v>
      </c>
      <c r="AC99" s="1">
        <v>2</v>
      </c>
    </row>
    <row r="100" spans="1:29">
      <c r="A100" s="7">
        <v>98</v>
      </c>
      <c r="B100" s="2">
        <v>1</v>
      </c>
      <c r="E100" s="1">
        <v>-0.34</v>
      </c>
      <c r="F100" s="1">
        <v>-0.08</v>
      </c>
      <c r="G100" s="6">
        <v>12</v>
      </c>
      <c r="V100" s="1">
        <v>2</v>
      </c>
      <c r="W100" s="1">
        <v>2</v>
      </c>
      <c r="AC100" s="1">
        <v>2</v>
      </c>
    </row>
    <row r="101" spans="1:29">
      <c r="A101" s="7">
        <v>99</v>
      </c>
      <c r="B101" s="2">
        <v>1</v>
      </c>
      <c r="E101" s="1">
        <v>-0.42</v>
      </c>
      <c r="F101" s="1">
        <v>0</v>
      </c>
      <c r="G101" s="6">
        <v>12</v>
      </c>
      <c r="V101" s="1">
        <v>2</v>
      </c>
      <c r="W101" s="1">
        <v>2</v>
      </c>
      <c r="AC101" s="1">
        <v>2</v>
      </c>
    </row>
    <row r="102" spans="1:29">
      <c r="A102" s="7">
        <v>100</v>
      </c>
      <c r="B102" s="2">
        <v>1</v>
      </c>
      <c r="E102" s="1">
        <v>-0.37</v>
      </c>
      <c r="F102" s="1">
        <v>-0.18</v>
      </c>
      <c r="G102" s="6">
        <v>12</v>
      </c>
      <c r="V102" s="1">
        <v>2</v>
      </c>
      <c r="W102" s="1">
        <v>2</v>
      </c>
      <c r="AC102" s="1">
        <v>2</v>
      </c>
    </row>
    <row r="103" spans="1:29">
      <c r="A103" s="7">
        <v>101</v>
      </c>
      <c r="B103" s="2">
        <v>1</v>
      </c>
      <c r="E103" s="1">
        <v>-0.22</v>
      </c>
      <c r="F103" s="1">
        <v>-0.15</v>
      </c>
      <c r="G103" s="6">
        <v>12</v>
      </c>
      <c r="V103" s="1">
        <v>2</v>
      </c>
      <c r="W103" s="1">
        <v>2</v>
      </c>
      <c r="AC103" s="1">
        <v>2</v>
      </c>
    </row>
    <row r="104" spans="1:29">
      <c r="A104" s="7">
        <v>102</v>
      </c>
      <c r="B104" s="2">
        <v>1</v>
      </c>
      <c r="E104" s="1">
        <v>-0.05</v>
      </c>
      <c r="F104" s="1">
        <v>-0.03</v>
      </c>
      <c r="G104" s="6">
        <v>12</v>
      </c>
      <c r="V104" s="1">
        <v>2</v>
      </c>
      <c r="W104" s="1">
        <v>2</v>
      </c>
      <c r="AC104" s="1">
        <v>2</v>
      </c>
    </row>
    <row r="105" spans="1:29">
      <c r="A105" s="7">
        <v>103</v>
      </c>
      <c r="B105" s="2">
        <v>1</v>
      </c>
      <c r="E105" s="1">
        <v>-0.23</v>
      </c>
      <c r="F105" s="1">
        <v>-0.16</v>
      </c>
      <c r="G105" s="6">
        <v>12</v>
      </c>
      <c r="V105" s="1">
        <v>2</v>
      </c>
      <c r="W105" s="1">
        <v>2</v>
      </c>
      <c r="AC105" s="1">
        <v>2</v>
      </c>
    </row>
    <row r="106" spans="1:29">
      <c r="A106" s="3">
        <v>104</v>
      </c>
      <c r="B106" s="2">
        <v>1</v>
      </c>
      <c r="E106" s="1">
        <v>-0.38</v>
      </c>
      <c r="F106" s="1">
        <v>-0.25</v>
      </c>
      <c r="G106" s="6">
        <v>12</v>
      </c>
      <c r="V106" s="1">
        <v>2</v>
      </c>
      <c r="W106" s="1">
        <v>2</v>
      </c>
      <c r="AC106" s="1">
        <v>2</v>
      </c>
    </row>
    <row r="107" spans="1:29">
      <c r="A107" s="3">
        <v>105</v>
      </c>
      <c r="B107" s="2">
        <v>1</v>
      </c>
      <c r="E107" s="1">
        <v>-0.31</v>
      </c>
      <c r="F107" s="1">
        <v>-0.26</v>
      </c>
      <c r="G107" s="6">
        <v>12</v>
      </c>
      <c r="V107" s="1">
        <v>2</v>
      </c>
      <c r="W107" s="1">
        <v>2</v>
      </c>
      <c r="AC107" s="1">
        <v>2</v>
      </c>
    </row>
    <row r="108" spans="1:29">
      <c r="A108" s="3">
        <v>106</v>
      </c>
      <c r="B108" s="2">
        <v>1</v>
      </c>
      <c r="E108" s="1">
        <v>-0.43</v>
      </c>
      <c r="F108" s="1">
        <v>-0.16</v>
      </c>
      <c r="G108" s="6">
        <v>12</v>
      </c>
      <c r="V108" s="1">
        <v>2</v>
      </c>
      <c r="W108" s="1">
        <v>2</v>
      </c>
      <c r="AC108" s="1">
        <v>2</v>
      </c>
    </row>
    <row r="109" spans="1:29">
      <c r="A109" s="3">
        <v>107</v>
      </c>
      <c r="B109" s="2">
        <v>1</v>
      </c>
      <c r="E109" s="1">
        <v>-0.5</v>
      </c>
      <c r="F109" s="1">
        <v>-0.12</v>
      </c>
      <c r="G109" s="6">
        <v>12</v>
      </c>
      <c r="V109" s="1">
        <v>2</v>
      </c>
      <c r="W109" s="1">
        <v>2</v>
      </c>
      <c r="AC109" s="1">
        <v>2</v>
      </c>
    </row>
    <row r="110" spans="1:29">
      <c r="A110" s="3">
        <v>108</v>
      </c>
      <c r="B110" s="2">
        <v>1</v>
      </c>
      <c r="E110" s="1">
        <v>-0.02</v>
      </c>
      <c r="F110" s="1">
        <v>-0.01</v>
      </c>
      <c r="G110" s="6">
        <v>12</v>
      </c>
      <c r="V110" s="1">
        <v>2</v>
      </c>
      <c r="W110" s="1">
        <v>2</v>
      </c>
      <c r="AC110" s="1">
        <v>2</v>
      </c>
    </row>
    <row r="111" spans="1:29">
      <c r="A111" s="3">
        <v>109</v>
      </c>
      <c r="B111" s="2">
        <v>1</v>
      </c>
      <c r="E111" s="1">
        <v>-0.08</v>
      </c>
      <c r="F111" s="1">
        <v>-0.03</v>
      </c>
      <c r="G111" s="6">
        <v>12</v>
      </c>
      <c r="V111" s="1">
        <v>2</v>
      </c>
      <c r="W111" s="1">
        <v>2</v>
      </c>
      <c r="AC111" s="1">
        <v>2</v>
      </c>
    </row>
    <row r="112" spans="1:29">
      <c r="A112" s="3">
        <v>110</v>
      </c>
      <c r="B112" s="2">
        <v>1</v>
      </c>
      <c r="E112" s="1">
        <v>-0.39</v>
      </c>
      <c r="F112" s="1">
        <v>-0.3</v>
      </c>
      <c r="G112" s="6">
        <v>12</v>
      </c>
      <c r="V112" s="1">
        <v>2</v>
      </c>
      <c r="W112" s="1">
        <v>2</v>
      </c>
      <c r="AC112" s="1">
        <v>2</v>
      </c>
    </row>
    <row r="113" spans="1:29">
      <c r="A113" s="3">
        <v>111</v>
      </c>
      <c r="B113" s="2">
        <v>1</v>
      </c>
      <c r="E113" s="1">
        <v>0</v>
      </c>
      <c r="F113" s="1">
        <v>0</v>
      </c>
      <c r="G113" s="6">
        <v>11</v>
      </c>
      <c r="AC113" s="1">
        <v>2</v>
      </c>
    </row>
    <row r="114" spans="1:29">
      <c r="A114" s="3">
        <v>112</v>
      </c>
      <c r="B114" s="2">
        <v>1</v>
      </c>
      <c r="E114" s="1">
        <v>-0.68</v>
      </c>
      <c r="F114" s="1">
        <v>-0.13</v>
      </c>
      <c r="G114" s="6">
        <v>12</v>
      </c>
      <c r="V114" s="1">
        <v>2</v>
      </c>
      <c r="W114" s="1">
        <v>2</v>
      </c>
      <c r="AC114" s="1">
        <v>2</v>
      </c>
    </row>
    <row r="115" spans="1:29">
      <c r="A115" s="3">
        <v>113</v>
      </c>
      <c r="B115" s="2">
        <v>1</v>
      </c>
      <c r="E115" s="1">
        <v>-0.06</v>
      </c>
      <c r="F115" s="1">
        <v>0</v>
      </c>
      <c r="G115" s="6">
        <v>12</v>
      </c>
      <c r="V115" s="1">
        <v>2</v>
      </c>
      <c r="W115" s="1">
        <v>2</v>
      </c>
      <c r="AC115" s="1">
        <v>1</v>
      </c>
    </row>
    <row r="116" spans="1:29">
      <c r="A116" s="3">
        <v>114</v>
      </c>
      <c r="B116" s="2">
        <v>1</v>
      </c>
      <c r="E116" s="1">
        <v>-0.08</v>
      </c>
      <c r="F116" s="1">
        <v>-0.03</v>
      </c>
      <c r="G116" s="6">
        <v>12</v>
      </c>
      <c r="V116" s="1">
        <v>2</v>
      </c>
      <c r="W116" s="1">
        <v>2</v>
      </c>
      <c r="AC116" s="1">
        <v>1</v>
      </c>
    </row>
    <row r="117" spans="1:29">
      <c r="A117" s="3">
        <v>115</v>
      </c>
      <c r="B117" s="2">
        <v>1</v>
      </c>
      <c r="E117" s="1">
        <v>-0.22</v>
      </c>
      <c r="F117" s="1">
        <v>-7.0000000000000007E-2</v>
      </c>
      <c r="G117" s="6">
        <v>12</v>
      </c>
      <c r="V117" s="1">
        <v>2</v>
      </c>
      <c r="W117" s="1">
        <v>2</v>
      </c>
      <c r="AC117" s="1">
        <v>1</v>
      </c>
    </row>
    <row r="118" spans="1:29">
      <c r="A118" s="3">
        <v>116</v>
      </c>
      <c r="B118" s="2">
        <v>1</v>
      </c>
      <c r="E118" s="1">
        <v>-1.84</v>
      </c>
      <c r="F118" s="1">
        <v>0</v>
      </c>
      <c r="G118" s="6">
        <v>12</v>
      </c>
      <c r="V118" s="1">
        <v>2</v>
      </c>
      <c r="W118" s="1">
        <v>2</v>
      </c>
      <c r="AC118" s="1">
        <v>2</v>
      </c>
    </row>
    <row r="119" spans="1:29">
      <c r="A119" s="3">
        <v>117</v>
      </c>
      <c r="B119" s="2">
        <v>1</v>
      </c>
      <c r="E119" s="1">
        <v>-0.2</v>
      </c>
      <c r="F119" s="1">
        <v>-0.08</v>
      </c>
      <c r="G119" s="6">
        <v>12</v>
      </c>
      <c r="V119" s="1">
        <v>2</v>
      </c>
      <c r="W119" s="1">
        <v>2</v>
      </c>
      <c r="AC119" s="1">
        <v>1</v>
      </c>
    </row>
    <row r="120" spans="1:29">
      <c r="A120" s="3">
        <v>118</v>
      </c>
      <c r="B120" s="2">
        <v>1</v>
      </c>
      <c r="E120" s="1">
        <v>-0.33</v>
      </c>
      <c r="F120" s="1">
        <v>-0.15</v>
      </c>
      <c r="G120" s="6">
        <v>12</v>
      </c>
      <c r="V120" s="1">
        <v>2</v>
      </c>
      <c r="W120" s="1">
        <v>2</v>
      </c>
      <c r="AC120" s="1">
        <v>2</v>
      </c>
    </row>
    <row r="121" spans="1:29">
      <c r="A121" s="3">
        <v>119</v>
      </c>
      <c r="B121" s="1">
        <v>2</v>
      </c>
      <c r="C121" s="38">
        <v>1.05</v>
      </c>
      <c r="E121">
        <v>0</v>
      </c>
      <c r="F121">
        <v>0.53167880596471906</v>
      </c>
      <c r="G121" s="6">
        <v>100</v>
      </c>
      <c r="H121" s="9">
        <f>X121*AB121/AA121</f>
        <v>2.2222222222222223E-2</v>
      </c>
      <c r="I121" s="10">
        <v>500</v>
      </c>
      <c r="J121" s="10">
        <v>20</v>
      </c>
      <c r="K121" s="10">
        <v>20</v>
      </c>
      <c r="L121" s="10">
        <f>Y121*2*PI()*50/AB121</f>
        <v>0</v>
      </c>
      <c r="M121" s="11">
        <f t="shared" ref="M121" si="0">Z121/(AB121*TAN(ACOS(AA121)))</f>
        <v>0</v>
      </c>
      <c r="Q121" s="1">
        <v>100</v>
      </c>
      <c r="X121" s="9">
        <v>0.02</v>
      </c>
      <c r="Y121" s="9">
        <v>0</v>
      </c>
      <c r="Z121" s="9">
        <v>0</v>
      </c>
      <c r="AA121" s="9">
        <v>0.9</v>
      </c>
      <c r="AB121" s="1">
        <v>1</v>
      </c>
      <c r="AC121">
        <v>1</v>
      </c>
    </row>
    <row r="122" spans="1:29">
      <c r="A122" s="3">
        <v>120</v>
      </c>
      <c r="B122" s="1">
        <v>2</v>
      </c>
      <c r="C122" s="1">
        <v>1.05</v>
      </c>
      <c r="E122">
        <v>0</v>
      </c>
      <c r="F122">
        <v>-0.16227506253083701</v>
      </c>
      <c r="G122" s="6">
        <v>100</v>
      </c>
      <c r="H122" s="9">
        <f t="shared" ref="H122:H174" si="1">X122*AB122/AA122</f>
        <v>2.2222222222222223E-2</v>
      </c>
      <c r="I122" s="10">
        <v>500</v>
      </c>
      <c r="J122" s="10">
        <v>20</v>
      </c>
      <c r="K122" s="10">
        <v>20</v>
      </c>
      <c r="L122" s="10">
        <f t="shared" ref="L122:L174" si="2">Y122*2*PI()*50/AB122</f>
        <v>0</v>
      </c>
      <c r="M122" s="11">
        <f t="shared" ref="M122:M174" si="3">Z122/(AB122*TAN(ACOS(AA122)))</f>
        <v>0</v>
      </c>
      <c r="Q122" s="1">
        <v>100</v>
      </c>
      <c r="X122" s="9">
        <v>0.02</v>
      </c>
      <c r="Y122" s="9">
        <v>0</v>
      </c>
      <c r="Z122" s="9">
        <v>0</v>
      </c>
      <c r="AA122" s="9">
        <v>0.9</v>
      </c>
      <c r="AB122" s="1">
        <v>1</v>
      </c>
      <c r="AC122">
        <v>1</v>
      </c>
    </row>
    <row r="123" spans="1:29">
      <c r="A123" s="3">
        <v>121</v>
      </c>
      <c r="B123" s="1">
        <v>2</v>
      </c>
      <c r="C123" s="1">
        <v>1.05</v>
      </c>
      <c r="E123">
        <v>0</v>
      </c>
      <c r="F123">
        <v>0.31387015992818201</v>
      </c>
      <c r="G123" s="6">
        <v>100</v>
      </c>
      <c r="H123" s="9">
        <f t="shared" si="1"/>
        <v>2.2222222222222223E-2</v>
      </c>
      <c r="I123" s="10">
        <v>500</v>
      </c>
      <c r="J123" s="10">
        <v>20</v>
      </c>
      <c r="K123" s="10">
        <v>20</v>
      </c>
      <c r="L123" s="10">
        <f t="shared" si="2"/>
        <v>0</v>
      </c>
      <c r="M123" s="11">
        <f t="shared" si="3"/>
        <v>0</v>
      </c>
      <c r="Q123" s="1">
        <v>100</v>
      </c>
      <c r="X123" s="9">
        <v>0.02</v>
      </c>
      <c r="Y123" s="9">
        <v>0</v>
      </c>
      <c r="Z123" s="9">
        <v>0</v>
      </c>
      <c r="AA123" s="9">
        <v>0.9</v>
      </c>
      <c r="AB123" s="1">
        <v>1</v>
      </c>
      <c r="AC123">
        <v>1</v>
      </c>
    </row>
    <row r="124" spans="1:29">
      <c r="A124" s="3">
        <v>122</v>
      </c>
      <c r="B124" s="1">
        <v>2</v>
      </c>
      <c r="C124" s="1">
        <v>1.05</v>
      </c>
      <c r="E124">
        <v>0</v>
      </c>
      <c r="F124">
        <v>0.16605015536419798</v>
      </c>
      <c r="G124" s="6">
        <v>100</v>
      </c>
      <c r="H124" s="9">
        <f t="shared" si="1"/>
        <v>2.2222222222222223E-2</v>
      </c>
      <c r="I124" s="10">
        <v>500</v>
      </c>
      <c r="J124" s="10">
        <v>20</v>
      </c>
      <c r="K124" s="10">
        <v>20</v>
      </c>
      <c r="L124" s="10">
        <f t="shared" si="2"/>
        <v>0</v>
      </c>
      <c r="M124" s="11">
        <f t="shared" si="3"/>
        <v>0</v>
      </c>
      <c r="Q124" s="1">
        <v>100</v>
      </c>
      <c r="X124" s="9">
        <v>0.02</v>
      </c>
      <c r="Y124" s="9">
        <v>0</v>
      </c>
      <c r="Z124" s="9">
        <v>0</v>
      </c>
      <c r="AA124" s="9">
        <v>0.9</v>
      </c>
      <c r="AB124" s="1">
        <v>1</v>
      </c>
      <c r="AC124">
        <v>1</v>
      </c>
    </row>
    <row r="125" spans="1:29">
      <c r="A125" s="3">
        <v>123</v>
      </c>
      <c r="B125" s="1">
        <v>2</v>
      </c>
      <c r="C125" s="1">
        <v>1.05</v>
      </c>
      <c r="E125">
        <v>4.5</v>
      </c>
      <c r="F125">
        <v>-1.1153327321727</v>
      </c>
      <c r="G125" s="6">
        <v>100</v>
      </c>
      <c r="H125" s="9">
        <f t="shared" si="1"/>
        <v>0.12222222222222222</v>
      </c>
      <c r="I125" s="10">
        <v>500</v>
      </c>
      <c r="J125" s="10">
        <v>20</v>
      </c>
      <c r="K125" s="10">
        <v>20</v>
      </c>
      <c r="L125" s="10">
        <f t="shared" si="2"/>
        <v>0</v>
      </c>
      <c r="M125" s="11">
        <f t="shared" si="3"/>
        <v>0</v>
      </c>
      <c r="Q125" s="1">
        <v>100</v>
      </c>
      <c r="X125" s="9">
        <v>0.02</v>
      </c>
      <c r="Y125" s="9">
        <v>0</v>
      </c>
      <c r="Z125" s="9">
        <v>0</v>
      </c>
      <c r="AA125" s="9">
        <v>0.9</v>
      </c>
      <c r="AB125" s="1">
        <v>5.5</v>
      </c>
      <c r="AC125">
        <v>1</v>
      </c>
    </row>
    <row r="126" spans="1:29">
      <c r="A126" s="3">
        <v>124</v>
      </c>
      <c r="B126" s="1">
        <v>2</v>
      </c>
      <c r="C126" s="1">
        <v>1.05</v>
      </c>
      <c r="E126">
        <v>0.85</v>
      </c>
      <c r="F126">
        <v>0.56088559035337804</v>
      </c>
      <c r="G126" s="6">
        <v>100</v>
      </c>
      <c r="H126" s="9">
        <f t="shared" si="1"/>
        <v>4.1111111111111119E-2</v>
      </c>
      <c r="I126" s="10">
        <v>500</v>
      </c>
      <c r="J126" s="10">
        <v>20</v>
      </c>
      <c r="K126" s="10">
        <v>20</v>
      </c>
      <c r="L126" s="10">
        <f t="shared" si="2"/>
        <v>0</v>
      </c>
      <c r="M126" s="11">
        <f t="shared" si="3"/>
        <v>0</v>
      </c>
      <c r="Q126" s="1">
        <v>100</v>
      </c>
      <c r="X126" s="9">
        <v>0.02</v>
      </c>
      <c r="Y126" s="9">
        <v>0</v>
      </c>
      <c r="Z126" s="9">
        <v>0</v>
      </c>
      <c r="AA126" s="9">
        <v>0.9</v>
      </c>
      <c r="AB126" s="1">
        <v>1.85</v>
      </c>
      <c r="AC126">
        <v>1</v>
      </c>
    </row>
    <row r="127" spans="1:29">
      <c r="A127" s="3">
        <v>125</v>
      </c>
      <c r="B127" s="1">
        <v>2</v>
      </c>
      <c r="C127" s="1">
        <v>1.05</v>
      </c>
      <c r="E127">
        <v>0</v>
      </c>
      <c r="F127">
        <v>0.329890988478453</v>
      </c>
      <c r="G127" s="6">
        <v>100</v>
      </c>
      <c r="H127" s="9">
        <f t="shared" si="1"/>
        <v>2.2222222222222223E-2</v>
      </c>
      <c r="I127" s="10">
        <v>500</v>
      </c>
      <c r="J127" s="10">
        <v>20</v>
      </c>
      <c r="K127" s="10">
        <v>20</v>
      </c>
      <c r="L127" s="10">
        <f t="shared" si="2"/>
        <v>0</v>
      </c>
      <c r="M127" s="11">
        <f t="shared" si="3"/>
        <v>0</v>
      </c>
      <c r="Q127" s="1">
        <v>100</v>
      </c>
      <c r="X127" s="9">
        <v>0.02</v>
      </c>
      <c r="Y127" s="9">
        <v>0</v>
      </c>
      <c r="Z127" s="9">
        <v>0</v>
      </c>
      <c r="AA127" s="9">
        <v>0.9</v>
      </c>
      <c r="AB127" s="1">
        <v>1</v>
      </c>
      <c r="AC127">
        <v>1</v>
      </c>
    </row>
    <row r="128" spans="1:29">
      <c r="A128" s="3">
        <v>126</v>
      </c>
      <c r="B128" s="1">
        <v>2</v>
      </c>
      <c r="C128" s="1">
        <v>1.05</v>
      </c>
      <c r="E128">
        <v>0</v>
      </c>
      <c r="F128">
        <v>0.25942803770214401</v>
      </c>
      <c r="G128" s="6">
        <v>100</v>
      </c>
      <c r="H128" s="9">
        <f t="shared" si="1"/>
        <v>2.2222222222222223E-2</v>
      </c>
      <c r="I128" s="10">
        <v>500</v>
      </c>
      <c r="J128" s="10">
        <v>20</v>
      </c>
      <c r="K128" s="10">
        <v>20</v>
      </c>
      <c r="L128" s="10">
        <f t="shared" si="2"/>
        <v>0</v>
      </c>
      <c r="M128" s="11">
        <f t="shared" si="3"/>
        <v>0</v>
      </c>
      <c r="Q128" s="1">
        <v>100</v>
      </c>
      <c r="X128" s="9">
        <v>0.02</v>
      </c>
      <c r="Y128" s="9">
        <v>0</v>
      </c>
      <c r="Z128" s="9">
        <v>0</v>
      </c>
      <c r="AA128" s="9">
        <v>0.9</v>
      </c>
      <c r="AB128" s="1">
        <v>1</v>
      </c>
      <c r="AC128">
        <v>1</v>
      </c>
    </row>
    <row r="129" spans="1:29">
      <c r="A129" s="3">
        <v>127</v>
      </c>
      <c r="B129" s="1">
        <v>2</v>
      </c>
      <c r="C129" s="1">
        <v>1.05</v>
      </c>
      <c r="E129">
        <v>0</v>
      </c>
      <c r="F129">
        <v>0.418004254093644</v>
      </c>
      <c r="G129" s="6">
        <v>100</v>
      </c>
      <c r="H129" s="9">
        <f t="shared" si="1"/>
        <v>2.2222222222222223E-2</v>
      </c>
      <c r="I129" s="10">
        <v>500</v>
      </c>
      <c r="J129" s="10">
        <v>20</v>
      </c>
      <c r="K129" s="10">
        <v>20</v>
      </c>
      <c r="L129" s="10">
        <f t="shared" si="2"/>
        <v>0</v>
      </c>
      <c r="M129" s="11">
        <f t="shared" si="3"/>
        <v>0</v>
      </c>
      <c r="Q129" s="1">
        <v>100</v>
      </c>
      <c r="X129" s="9">
        <v>0.02</v>
      </c>
      <c r="Y129" s="9">
        <v>0</v>
      </c>
      <c r="Z129" s="9">
        <v>0</v>
      </c>
      <c r="AA129" s="9">
        <v>0.9</v>
      </c>
      <c r="AB129" s="1">
        <v>1</v>
      </c>
      <c r="AC129">
        <v>1</v>
      </c>
    </row>
    <row r="130" spans="1:29">
      <c r="A130" s="3">
        <v>128</v>
      </c>
      <c r="B130" s="1">
        <v>2</v>
      </c>
      <c r="C130" s="1">
        <v>1.05</v>
      </c>
      <c r="E130">
        <v>0</v>
      </c>
      <c r="F130">
        <v>-5.9052728178487703E-2</v>
      </c>
      <c r="G130" s="6">
        <v>100</v>
      </c>
      <c r="H130" s="9">
        <f t="shared" si="1"/>
        <v>2.2222222222222223E-2</v>
      </c>
      <c r="I130" s="10">
        <v>500</v>
      </c>
      <c r="J130" s="10">
        <v>20</v>
      </c>
      <c r="K130" s="10">
        <v>20</v>
      </c>
      <c r="L130" s="10">
        <f t="shared" si="2"/>
        <v>0</v>
      </c>
      <c r="M130" s="11">
        <f t="shared" si="3"/>
        <v>0</v>
      </c>
      <c r="Q130" s="1">
        <v>100</v>
      </c>
      <c r="X130" s="9">
        <v>0.02</v>
      </c>
      <c r="Y130" s="9">
        <v>0</v>
      </c>
      <c r="Z130" s="9">
        <v>0</v>
      </c>
      <c r="AA130" s="9">
        <v>0.9</v>
      </c>
      <c r="AB130" s="1">
        <v>1</v>
      </c>
      <c r="AC130">
        <v>3</v>
      </c>
    </row>
    <row r="131" spans="1:29">
      <c r="A131" s="3">
        <v>129</v>
      </c>
      <c r="B131" s="1">
        <v>2</v>
      </c>
      <c r="C131" s="1">
        <v>1.05</v>
      </c>
      <c r="E131">
        <v>2.2000000000000002</v>
      </c>
      <c r="F131">
        <v>-1.65502859593382</v>
      </c>
      <c r="G131" s="6">
        <v>100</v>
      </c>
      <c r="H131" s="9">
        <f t="shared" si="1"/>
        <v>7.1111111111111111E-2</v>
      </c>
      <c r="I131" s="10">
        <v>500</v>
      </c>
      <c r="J131" s="10">
        <v>20</v>
      </c>
      <c r="K131" s="10">
        <v>20</v>
      </c>
      <c r="L131" s="10">
        <f t="shared" si="2"/>
        <v>0</v>
      </c>
      <c r="M131" s="11">
        <f t="shared" si="3"/>
        <v>0</v>
      </c>
      <c r="Q131" s="1">
        <v>100</v>
      </c>
      <c r="X131" s="9">
        <v>0.02</v>
      </c>
      <c r="Y131" s="9">
        <v>0</v>
      </c>
      <c r="Z131" s="9">
        <v>0</v>
      </c>
      <c r="AA131" s="9">
        <v>0.9</v>
      </c>
      <c r="AB131" s="1">
        <v>3.2</v>
      </c>
      <c r="AC131">
        <v>1</v>
      </c>
    </row>
    <row r="132" spans="1:29">
      <c r="A132" s="3">
        <v>130</v>
      </c>
      <c r="B132" s="1">
        <v>2</v>
      </c>
      <c r="C132" s="1">
        <v>1.05</v>
      </c>
      <c r="E132">
        <v>3.14</v>
      </c>
      <c r="F132">
        <v>0.91603037134282606</v>
      </c>
      <c r="G132" s="6">
        <v>100</v>
      </c>
      <c r="H132" s="9">
        <f t="shared" si="1"/>
        <v>9.1999999999999998E-2</v>
      </c>
      <c r="I132" s="10">
        <v>500</v>
      </c>
      <c r="J132" s="10">
        <v>20</v>
      </c>
      <c r="K132" s="10">
        <v>20</v>
      </c>
      <c r="L132" s="10">
        <f t="shared" si="2"/>
        <v>0</v>
      </c>
      <c r="M132" s="11">
        <f t="shared" si="3"/>
        <v>0</v>
      </c>
      <c r="Q132" s="1">
        <v>100</v>
      </c>
      <c r="X132" s="9">
        <v>0.02</v>
      </c>
      <c r="Y132" s="9">
        <v>0</v>
      </c>
      <c r="Z132" s="9">
        <v>0</v>
      </c>
      <c r="AA132" s="9">
        <v>0.9</v>
      </c>
      <c r="AB132" s="1">
        <v>4.1399999999999997</v>
      </c>
      <c r="AC132">
        <v>1</v>
      </c>
    </row>
    <row r="133" spans="1:29">
      <c r="A133" s="3">
        <v>131</v>
      </c>
      <c r="B133" s="1">
        <v>2</v>
      </c>
      <c r="C133" s="1">
        <v>1.05</v>
      </c>
      <c r="E133">
        <v>0</v>
      </c>
      <c r="F133">
        <v>0.40568806942239599</v>
      </c>
      <c r="G133" s="6">
        <v>100</v>
      </c>
      <c r="H133" s="9">
        <f t="shared" si="1"/>
        <v>2.2222222222222223E-2</v>
      </c>
      <c r="I133" s="10">
        <v>500</v>
      </c>
      <c r="J133" s="10">
        <v>20</v>
      </c>
      <c r="K133" s="10">
        <v>20</v>
      </c>
      <c r="L133" s="10">
        <f t="shared" si="2"/>
        <v>0</v>
      </c>
      <c r="M133" s="11">
        <f t="shared" si="3"/>
        <v>0</v>
      </c>
      <c r="Q133" s="1">
        <v>100</v>
      </c>
      <c r="X133" s="9">
        <v>0.02</v>
      </c>
      <c r="Y133" s="9">
        <v>0</v>
      </c>
      <c r="Z133" s="9">
        <v>0</v>
      </c>
      <c r="AA133" s="9">
        <v>0.9</v>
      </c>
      <c r="AB133" s="1">
        <v>1</v>
      </c>
      <c r="AC133">
        <v>1</v>
      </c>
    </row>
    <row r="134" spans="1:29">
      <c r="A134" s="3">
        <v>132</v>
      </c>
      <c r="B134" s="1">
        <v>2</v>
      </c>
      <c r="C134" s="1">
        <v>1.05</v>
      </c>
      <c r="E134">
        <v>7.0000000000000007E-2</v>
      </c>
      <c r="F134">
        <v>0.37845570069194701</v>
      </c>
      <c r="G134" s="6">
        <v>100</v>
      </c>
      <c r="H134" s="9">
        <f t="shared" si="1"/>
        <v>2.377777777777778E-2</v>
      </c>
      <c r="I134" s="10">
        <v>500</v>
      </c>
      <c r="J134" s="10">
        <v>20</v>
      </c>
      <c r="K134" s="10">
        <v>20</v>
      </c>
      <c r="L134" s="10">
        <f t="shared" si="2"/>
        <v>0</v>
      </c>
      <c r="M134" s="11">
        <f t="shared" si="3"/>
        <v>0</v>
      </c>
      <c r="Q134" s="1">
        <v>100</v>
      </c>
      <c r="X134" s="9">
        <v>0.02</v>
      </c>
      <c r="Y134" s="9">
        <v>0</v>
      </c>
      <c r="Z134" s="9">
        <v>0</v>
      </c>
      <c r="AA134" s="9">
        <v>0.9</v>
      </c>
      <c r="AB134" s="1">
        <v>1.07</v>
      </c>
      <c r="AC134">
        <v>1</v>
      </c>
    </row>
    <row r="135" spans="1:29">
      <c r="A135" s="3">
        <v>133</v>
      </c>
      <c r="B135" s="1">
        <v>2</v>
      </c>
      <c r="C135" s="1">
        <v>1.05</v>
      </c>
      <c r="E135">
        <v>0</v>
      </c>
      <c r="F135">
        <v>0.40952957766462494</v>
      </c>
      <c r="G135" s="6">
        <v>100</v>
      </c>
      <c r="H135" s="9">
        <f t="shared" si="1"/>
        <v>2.2222222222222223E-2</v>
      </c>
      <c r="I135" s="10">
        <v>500</v>
      </c>
      <c r="J135" s="10">
        <v>20</v>
      </c>
      <c r="K135" s="10">
        <v>20</v>
      </c>
      <c r="L135" s="10">
        <f t="shared" si="2"/>
        <v>0</v>
      </c>
      <c r="M135" s="11">
        <f t="shared" si="3"/>
        <v>0</v>
      </c>
      <c r="Q135" s="1">
        <v>100</v>
      </c>
      <c r="X135" s="9">
        <v>0.02</v>
      </c>
      <c r="Y135" s="9">
        <v>0</v>
      </c>
      <c r="Z135" s="9">
        <v>0</v>
      </c>
      <c r="AA135" s="9">
        <v>0.9</v>
      </c>
      <c r="AB135" s="1">
        <v>1</v>
      </c>
      <c r="AC135">
        <v>1</v>
      </c>
    </row>
    <row r="136" spans="1:29">
      <c r="A136" s="3">
        <v>134</v>
      </c>
      <c r="B136" s="1">
        <v>2</v>
      </c>
      <c r="C136" s="1">
        <v>1.05</v>
      </c>
      <c r="E136">
        <v>0</v>
      </c>
      <c r="F136">
        <v>-0.58449642127270307</v>
      </c>
      <c r="G136" s="6">
        <v>100</v>
      </c>
      <c r="H136" s="9">
        <f t="shared" si="1"/>
        <v>2.2222222222222223E-2</v>
      </c>
      <c r="I136" s="10">
        <v>500</v>
      </c>
      <c r="J136" s="10">
        <v>20</v>
      </c>
      <c r="K136" s="10">
        <v>20</v>
      </c>
      <c r="L136" s="10">
        <f t="shared" si="2"/>
        <v>0</v>
      </c>
      <c r="M136" s="11">
        <f t="shared" si="3"/>
        <v>0</v>
      </c>
      <c r="Q136" s="1">
        <v>100</v>
      </c>
      <c r="X136" s="9">
        <v>0.02</v>
      </c>
      <c r="Y136" s="9">
        <v>0</v>
      </c>
      <c r="Z136" s="9">
        <v>0</v>
      </c>
      <c r="AA136" s="9">
        <v>0.9</v>
      </c>
      <c r="AB136" s="1">
        <v>1</v>
      </c>
      <c r="AC136">
        <v>2</v>
      </c>
    </row>
    <row r="137" spans="1:29">
      <c r="A137" s="3">
        <v>135</v>
      </c>
      <c r="B137" s="1">
        <v>2</v>
      </c>
      <c r="C137" s="1">
        <v>1.05</v>
      </c>
      <c r="E137">
        <v>0</v>
      </c>
      <c r="F137">
        <v>0.26236586287885499</v>
      </c>
      <c r="G137" s="6">
        <v>100</v>
      </c>
      <c r="H137" s="9">
        <f t="shared" si="1"/>
        <v>2.2222222222222223E-2</v>
      </c>
      <c r="I137" s="10">
        <v>500</v>
      </c>
      <c r="J137" s="10">
        <v>20</v>
      </c>
      <c r="K137" s="10">
        <v>20</v>
      </c>
      <c r="L137" s="10">
        <f t="shared" si="2"/>
        <v>0</v>
      </c>
      <c r="M137" s="11">
        <f t="shared" si="3"/>
        <v>0</v>
      </c>
      <c r="Q137" s="1">
        <v>100</v>
      </c>
      <c r="X137" s="9">
        <v>0.02</v>
      </c>
      <c r="Y137" s="9">
        <v>0</v>
      </c>
      <c r="Z137" s="9">
        <v>0</v>
      </c>
      <c r="AA137" s="9">
        <v>0.9</v>
      </c>
      <c r="AB137" s="1">
        <v>1</v>
      </c>
      <c r="AC137">
        <v>2</v>
      </c>
    </row>
    <row r="138" spans="1:29">
      <c r="A138" s="3">
        <v>136</v>
      </c>
      <c r="B138" s="1">
        <v>2</v>
      </c>
      <c r="C138" s="1">
        <v>1.05</v>
      </c>
      <c r="E138">
        <v>0</v>
      </c>
      <c r="F138">
        <v>0.57599017737184</v>
      </c>
      <c r="G138" s="6">
        <v>100</v>
      </c>
      <c r="H138" s="9">
        <f t="shared" si="1"/>
        <v>2.2222222222222223E-2</v>
      </c>
      <c r="I138" s="10">
        <v>500</v>
      </c>
      <c r="J138" s="10">
        <v>20</v>
      </c>
      <c r="K138" s="10">
        <v>20</v>
      </c>
      <c r="L138" s="10">
        <f t="shared" si="2"/>
        <v>0</v>
      </c>
      <c r="M138" s="11">
        <f t="shared" si="3"/>
        <v>0</v>
      </c>
      <c r="Q138" s="1">
        <v>100</v>
      </c>
      <c r="X138" s="9">
        <v>0.02</v>
      </c>
      <c r="Y138" s="9">
        <v>0</v>
      </c>
      <c r="Z138" s="9">
        <v>0</v>
      </c>
      <c r="AA138" s="9">
        <v>0.9</v>
      </c>
      <c r="AB138" s="1">
        <v>1</v>
      </c>
      <c r="AC138">
        <v>2</v>
      </c>
    </row>
    <row r="139" spans="1:29">
      <c r="A139" s="3">
        <v>137</v>
      </c>
      <c r="B139" s="1">
        <v>2</v>
      </c>
      <c r="C139" s="1">
        <v>1.05</v>
      </c>
      <c r="E139">
        <v>0</v>
      </c>
      <c r="F139">
        <v>0.46727795654015203</v>
      </c>
      <c r="G139" s="6">
        <v>100</v>
      </c>
      <c r="H139" s="9">
        <f t="shared" si="1"/>
        <v>2.2222222222222223E-2</v>
      </c>
      <c r="I139" s="10">
        <v>500</v>
      </c>
      <c r="J139" s="10">
        <v>20</v>
      </c>
      <c r="K139" s="10">
        <v>20</v>
      </c>
      <c r="L139" s="10">
        <f t="shared" si="2"/>
        <v>0</v>
      </c>
      <c r="M139" s="11">
        <f t="shared" si="3"/>
        <v>0</v>
      </c>
      <c r="Q139" s="1">
        <v>100</v>
      </c>
      <c r="X139" s="9">
        <v>0.02</v>
      </c>
      <c r="Y139" s="9">
        <v>0</v>
      </c>
      <c r="Z139" s="9">
        <v>0</v>
      </c>
      <c r="AA139" s="9">
        <v>0.9</v>
      </c>
      <c r="AB139" s="1">
        <v>1</v>
      </c>
      <c r="AC139">
        <v>2</v>
      </c>
    </row>
    <row r="140" spans="1:29">
      <c r="A140" s="3">
        <v>138</v>
      </c>
      <c r="B140" s="1">
        <v>2</v>
      </c>
      <c r="C140" s="1">
        <v>1.05</v>
      </c>
      <c r="E140">
        <v>0.19</v>
      </c>
      <c r="F140">
        <v>0.154994906120795</v>
      </c>
      <c r="G140" s="6">
        <v>100</v>
      </c>
      <c r="H140" s="9">
        <f t="shared" si="1"/>
        <v>2.6444444444444441E-2</v>
      </c>
      <c r="I140" s="10">
        <v>500</v>
      </c>
      <c r="J140" s="10">
        <v>20</v>
      </c>
      <c r="K140" s="10">
        <v>20</v>
      </c>
      <c r="L140" s="10">
        <f t="shared" si="2"/>
        <v>0</v>
      </c>
      <c r="M140" s="11">
        <f t="shared" si="3"/>
        <v>0</v>
      </c>
      <c r="Q140" s="1">
        <v>100</v>
      </c>
      <c r="X140" s="9">
        <v>0.02</v>
      </c>
      <c r="Y140" s="9">
        <v>0</v>
      </c>
      <c r="Z140" s="9">
        <v>0</v>
      </c>
      <c r="AA140" s="9">
        <v>0.9</v>
      </c>
      <c r="AB140" s="1">
        <v>1.19</v>
      </c>
      <c r="AC140">
        <v>2</v>
      </c>
    </row>
    <row r="141" spans="1:29">
      <c r="A141" s="3">
        <v>139</v>
      </c>
      <c r="B141" s="1">
        <v>2</v>
      </c>
      <c r="C141" s="1">
        <v>1.05</v>
      </c>
      <c r="E141">
        <v>2.04</v>
      </c>
      <c r="F141">
        <v>0.176787683144736</v>
      </c>
      <c r="G141" s="6">
        <v>100</v>
      </c>
      <c r="H141" s="9">
        <f t="shared" si="1"/>
        <v>6.7555555555555549E-2</v>
      </c>
      <c r="I141" s="10">
        <v>500</v>
      </c>
      <c r="J141" s="10">
        <v>20</v>
      </c>
      <c r="K141" s="10">
        <v>20</v>
      </c>
      <c r="L141" s="10">
        <f t="shared" si="2"/>
        <v>0</v>
      </c>
      <c r="M141" s="11">
        <f t="shared" si="3"/>
        <v>0</v>
      </c>
      <c r="Q141" s="1">
        <v>100</v>
      </c>
      <c r="X141" s="9">
        <v>0.02</v>
      </c>
      <c r="Y141" s="9">
        <v>0</v>
      </c>
      <c r="Z141" s="9">
        <v>0</v>
      </c>
      <c r="AA141" s="9">
        <v>0.9</v>
      </c>
      <c r="AB141" s="1">
        <v>3.04</v>
      </c>
      <c r="AC141">
        <v>2</v>
      </c>
    </row>
    <row r="142" spans="1:29">
      <c r="A142" s="3">
        <v>140</v>
      </c>
      <c r="B142" s="1">
        <v>2</v>
      </c>
      <c r="C142" s="1">
        <v>1.05</v>
      </c>
      <c r="E142">
        <v>0.48</v>
      </c>
      <c r="F142">
        <v>0.54870928944602904</v>
      </c>
      <c r="G142" s="6">
        <v>100</v>
      </c>
      <c r="H142" s="9">
        <f t="shared" si="1"/>
        <v>3.2888888888888891E-2</v>
      </c>
      <c r="I142" s="10">
        <v>500</v>
      </c>
      <c r="J142" s="10">
        <v>20</v>
      </c>
      <c r="K142" s="10">
        <v>20</v>
      </c>
      <c r="L142" s="10">
        <f t="shared" si="2"/>
        <v>0</v>
      </c>
      <c r="M142" s="11">
        <f t="shared" si="3"/>
        <v>0</v>
      </c>
      <c r="Q142" s="1">
        <v>100</v>
      </c>
      <c r="X142" s="9">
        <v>0.02</v>
      </c>
      <c r="Y142" s="9">
        <v>0</v>
      </c>
      <c r="Z142" s="9">
        <v>0</v>
      </c>
      <c r="AA142" s="9">
        <v>0.9</v>
      </c>
      <c r="AB142" s="1">
        <v>1.48</v>
      </c>
      <c r="AC142">
        <v>2</v>
      </c>
    </row>
    <row r="143" spans="1:29">
      <c r="A143" s="3">
        <v>141</v>
      </c>
      <c r="B143" s="1">
        <v>2</v>
      </c>
      <c r="C143" s="1">
        <v>1.05</v>
      </c>
      <c r="E143">
        <v>0</v>
      </c>
      <c r="F143">
        <v>0.35059703589866104</v>
      </c>
      <c r="G143" s="6">
        <v>100</v>
      </c>
      <c r="H143" s="9">
        <f t="shared" si="1"/>
        <v>2.2222222222222223E-2</v>
      </c>
      <c r="I143" s="10">
        <v>500</v>
      </c>
      <c r="J143" s="10">
        <v>20</v>
      </c>
      <c r="K143" s="10">
        <v>20</v>
      </c>
      <c r="L143" s="10">
        <f t="shared" si="2"/>
        <v>0</v>
      </c>
      <c r="M143" s="11">
        <f t="shared" si="3"/>
        <v>0</v>
      </c>
      <c r="Q143" s="1">
        <v>100</v>
      </c>
      <c r="X143" s="9">
        <v>0.02</v>
      </c>
      <c r="Y143" s="9">
        <v>0</v>
      </c>
      <c r="Z143" s="9">
        <v>0</v>
      </c>
      <c r="AA143" s="9">
        <v>0.9</v>
      </c>
      <c r="AB143" s="1">
        <v>1</v>
      </c>
      <c r="AC143">
        <v>2</v>
      </c>
    </row>
    <row r="144" spans="1:29">
      <c r="A144" s="3">
        <v>142</v>
      </c>
      <c r="B144" s="1">
        <v>2</v>
      </c>
      <c r="C144" s="1">
        <v>1.05</v>
      </c>
      <c r="E144">
        <v>0</v>
      </c>
      <c r="F144">
        <v>0.58267404526437094</v>
      </c>
      <c r="G144" s="6">
        <v>100</v>
      </c>
      <c r="H144" s="9">
        <f t="shared" si="1"/>
        <v>2.2222222222222223E-2</v>
      </c>
      <c r="I144" s="10">
        <v>500</v>
      </c>
      <c r="J144" s="10">
        <v>20</v>
      </c>
      <c r="K144" s="10">
        <v>20</v>
      </c>
      <c r="L144" s="10">
        <f t="shared" si="2"/>
        <v>0</v>
      </c>
      <c r="M144" s="11">
        <f t="shared" si="3"/>
        <v>0</v>
      </c>
      <c r="Q144" s="1">
        <v>100</v>
      </c>
      <c r="X144" s="9">
        <v>0.02</v>
      </c>
      <c r="Y144" s="9">
        <v>0</v>
      </c>
      <c r="Z144" s="9">
        <v>0</v>
      </c>
      <c r="AA144" s="9">
        <v>0.9</v>
      </c>
      <c r="AB144" s="1">
        <v>1</v>
      </c>
      <c r="AC144">
        <v>2</v>
      </c>
    </row>
    <row r="145" spans="1:29">
      <c r="A145" s="3">
        <v>143</v>
      </c>
      <c r="B145" s="1">
        <v>2</v>
      </c>
      <c r="C145" s="1">
        <v>1.05</v>
      </c>
      <c r="E145">
        <v>1.55</v>
      </c>
      <c r="F145">
        <v>0.47113324379428001</v>
      </c>
      <c r="G145" s="6">
        <v>100</v>
      </c>
      <c r="H145" s="9">
        <f t="shared" si="1"/>
        <v>5.6666666666666664E-2</v>
      </c>
      <c r="I145" s="10">
        <v>500</v>
      </c>
      <c r="J145" s="10">
        <v>20</v>
      </c>
      <c r="K145" s="10">
        <v>20</v>
      </c>
      <c r="L145" s="10">
        <f t="shared" si="2"/>
        <v>0</v>
      </c>
      <c r="M145" s="11">
        <f t="shared" si="3"/>
        <v>0</v>
      </c>
      <c r="Q145" s="1">
        <v>100</v>
      </c>
      <c r="X145" s="9">
        <v>0.02</v>
      </c>
      <c r="Y145" s="9">
        <v>0</v>
      </c>
      <c r="Z145" s="9">
        <v>0</v>
      </c>
      <c r="AA145" s="9">
        <v>0.9</v>
      </c>
      <c r="AB145" s="1">
        <v>2.5499999999999998</v>
      </c>
      <c r="AC145">
        <v>2</v>
      </c>
    </row>
    <row r="146" spans="1:29">
      <c r="A146" s="3">
        <v>144</v>
      </c>
      <c r="B146" s="1">
        <v>2</v>
      </c>
      <c r="C146" s="1">
        <v>1.05</v>
      </c>
      <c r="E146">
        <v>1.6</v>
      </c>
      <c r="F146">
        <v>-0.369304610769351</v>
      </c>
      <c r="G146" s="6">
        <v>100</v>
      </c>
      <c r="H146" s="9">
        <f t="shared" si="1"/>
        <v>5.7777777777777782E-2</v>
      </c>
      <c r="I146" s="10">
        <v>500</v>
      </c>
      <c r="J146" s="10">
        <v>20</v>
      </c>
      <c r="K146" s="10">
        <v>20</v>
      </c>
      <c r="L146" s="10">
        <f t="shared" si="2"/>
        <v>0</v>
      </c>
      <c r="M146" s="11">
        <f t="shared" si="3"/>
        <v>0</v>
      </c>
      <c r="Q146" s="1">
        <v>100</v>
      </c>
      <c r="X146" s="9">
        <v>0.02</v>
      </c>
      <c r="Y146" s="9">
        <v>0</v>
      </c>
      <c r="Z146" s="9">
        <v>0</v>
      </c>
      <c r="AA146" s="9">
        <v>0.9</v>
      </c>
      <c r="AB146" s="1">
        <v>2.6</v>
      </c>
      <c r="AC146">
        <v>2</v>
      </c>
    </row>
    <row r="147" spans="1:29">
      <c r="A147" s="3">
        <v>145</v>
      </c>
      <c r="B147" s="1">
        <v>2</v>
      </c>
      <c r="C147" s="1">
        <v>1.05</v>
      </c>
      <c r="E147">
        <v>0</v>
      </c>
      <c r="F147">
        <v>0.349304386510361</v>
      </c>
      <c r="G147" s="6">
        <v>100</v>
      </c>
      <c r="H147" s="9">
        <f t="shared" si="1"/>
        <v>2.2222222222222223E-2</v>
      </c>
      <c r="I147" s="10">
        <v>500</v>
      </c>
      <c r="J147" s="10">
        <v>20</v>
      </c>
      <c r="K147" s="10">
        <v>20</v>
      </c>
      <c r="L147" s="10">
        <f t="shared" si="2"/>
        <v>0</v>
      </c>
      <c r="M147" s="11">
        <f t="shared" si="3"/>
        <v>0</v>
      </c>
      <c r="Q147" s="1">
        <v>100</v>
      </c>
      <c r="X147" s="9">
        <v>0.02</v>
      </c>
      <c r="Y147" s="9">
        <v>0</v>
      </c>
      <c r="Z147" s="9">
        <v>0</v>
      </c>
      <c r="AA147" s="9">
        <v>0.9</v>
      </c>
      <c r="AB147" s="1">
        <v>1</v>
      </c>
      <c r="AC147">
        <v>2</v>
      </c>
    </row>
    <row r="148" spans="1:29">
      <c r="A148" s="3">
        <v>146</v>
      </c>
      <c r="B148" s="1">
        <v>2</v>
      </c>
      <c r="C148" s="1">
        <v>1.05</v>
      </c>
      <c r="E148">
        <v>3.91</v>
      </c>
      <c r="F148">
        <v>2.1379945874923298</v>
      </c>
      <c r="G148" s="6">
        <v>100</v>
      </c>
      <c r="H148" s="9">
        <f t="shared" si="1"/>
        <v>0.10911111111111112</v>
      </c>
      <c r="I148" s="10">
        <v>500</v>
      </c>
      <c r="J148" s="10">
        <v>20</v>
      </c>
      <c r="K148" s="10">
        <v>20</v>
      </c>
      <c r="L148" s="10">
        <f t="shared" si="2"/>
        <v>0</v>
      </c>
      <c r="M148" s="11">
        <f t="shared" si="3"/>
        <v>0</v>
      </c>
      <c r="Q148" s="1">
        <v>100</v>
      </c>
      <c r="X148" s="9">
        <v>0.02</v>
      </c>
      <c r="Y148" s="9">
        <v>0</v>
      </c>
      <c r="Z148" s="9">
        <v>0</v>
      </c>
      <c r="AA148" s="9">
        <v>0.9</v>
      </c>
      <c r="AB148" s="1">
        <v>4.91</v>
      </c>
      <c r="AC148">
        <v>2</v>
      </c>
    </row>
    <row r="149" spans="1:29">
      <c r="A149" s="3">
        <v>147</v>
      </c>
      <c r="B149" s="1">
        <v>2</v>
      </c>
      <c r="C149" s="1">
        <v>1.05</v>
      </c>
      <c r="E149">
        <v>3.92</v>
      </c>
      <c r="F149">
        <v>-2.4274769952081199</v>
      </c>
      <c r="G149" s="6">
        <v>100</v>
      </c>
      <c r="H149" s="9">
        <f t="shared" si="1"/>
        <v>0.10933333333333334</v>
      </c>
      <c r="I149" s="10">
        <v>500</v>
      </c>
      <c r="J149" s="10">
        <v>20</v>
      </c>
      <c r="K149" s="10">
        <v>20</v>
      </c>
      <c r="L149" s="10">
        <f t="shared" si="2"/>
        <v>0</v>
      </c>
      <c r="M149" s="11">
        <f t="shared" si="3"/>
        <v>0</v>
      </c>
      <c r="Q149" s="1">
        <v>100</v>
      </c>
      <c r="X149" s="9">
        <v>0.02</v>
      </c>
      <c r="Y149" s="9">
        <v>0</v>
      </c>
      <c r="Z149" s="9">
        <v>0</v>
      </c>
      <c r="AA149" s="9">
        <v>0.9</v>
      </c>
      <c r="AB149" s="1">
        <v>4.92</v>
      </c>
      <c r="AC149">
        <v>2</v>
      </c>
    </row>
    <row r="150" spans="1:29">
      <c r="A150" s="3">
        <v>148</v>
      </c>
      <c r="B150" s="1">
        <v>3</v>
      </c>
      <c r="C150" s="1">
        <v>1.05</v>
      </c>
      <c r="D150" s="1">
        <v>0</v>
      </c>
      <c r="E150">
        <v>5.0041906988909695</v>
      </c>
      <c r="F150">
        <v>-2.9279293167694402</v>
      </c>
      <c r="G150" s="6">
        <v>200</v>
      </c>
      <c r="H150" s="9">
        <f t="shared" si="1"/>
        <v>1.7893333333333334</v>
      </c>
      <c r="I150" s="10">
        <v>500</v>
      </c>
      <c r="J150" s="10">
        <v>20</v>
      </c>
      <c r="K150" s="10">
        <v>20</v>
      </c>
      <c r="L150" s="10">
        <f t="shared" si="2"/>
        <v>0.39016302205536435</v>
      </c>
      <c r="M150" s="11">
        <f t="shared" si="3"/>
        <v>0</v>
      </c>
      <c r="X150" s="9">
        <v>0.2</v>
      </c>
      <c r="Y150" s="9">
        <v>0.01</v>
      </c>
      <c r="Z150" s="9">
        <v>0</v>
      </c>
      <c r="AA150" s="9">
        <v>0.9</v>
      </c>
      <c r="AB150" s="1">
        <v>8.0519999999999996</v>
      </c>
      <c r="AC150">
        <v>2</v>
      </c>
    </row>
    <row r="151" spans="1:29">
      <c r="A151" s="3">
        <v>149</v>
      </c>
      <c r="B151" s="1">
        <v>2</v>
      </c>
      <c r="C151" s="1">
        <v>1.05</v>
      </c>
      <c r="E151">
        <v>0</v>
      </c>
      <c r="F151">
        <v>0.29949139674020597</v>
      </c>
      <c r="G151" s="6">
        <v>100</v>
      </c>
      <c r="H151" s="9">
        <f t="shared" si="1"/>
        <v>2.2222222222222223E-2</v>
      </c>
      <c r="I151" s="10">
        <v>500</v>
      </c>
      <c r="J151" s="10">
        <v>20</v>
      </c>
      <c r="K151" s="10">
        <v>20</v>
      </c>
      <c r="L151" s="10">
        <f t="shared" si="2"/>
        <v>0</v>
      </c>
      <c r="M151" s="11">
        <f t="shared" si="3"/>
        <v>0</v>
      </c>
      <c r="Q151" s="1">
        <v>100</v>
      </c>
      <c r="X151" s="9">
        <v>0.02</v>
      </c>
      <c r="Y151" s="9">
        <v>0</v>
      </c>
      <c r="Z151" s="9">
        <v>0</v>
      </c>
      <c r="AA151" s="9">
        <v>0.9</v>
      </c>
      <c r="AB151" s="1">
        <v>1</v>
      </c>
      <c r="AC151">
        <v>2</v>
      </c>
    </row>
    <row r="152" spans="1:29">
      <c r="A152" s="3">
        <v>150</v>
      </c>
      <c r="B152" s="1">
        <v>2</v>
      </c>
      <c r="C152" s="1">
        <v>1.05</v>
      </c>
      <c r="E152">
        <v>0.5</v>
      </c>
      <c r="F152">
        <v>-2.3679345554373298E-2</v>
      </c>
      <c r="G152" s="6">
        <v>100</v>
      </c>
      <c r="H152" s="9">
        <f t="shared" si="1"/>
        <v>2.2222222222222223E-2</v>
      </c>
      <c r="I152" s="10">
        <v>500</v>
      </c>
      <c r="J152" s="10">
        <v>20</v>
      </c>
      <c r="K152" s="10">
        <v>20</v>
      </c>
      <c r="L152" s="10">
        <f t="shared" si="2"/>
        <v>0</v>
      </c>
      <c r="M152" s="11">
        <f t="shared" si="3"/>
        <v>0</v>
      </c>
      <c r="Q152" s="1">
        <v>100</v>
      </c>
      <c r="X152" s="9">
        <v>0.02</v>
      </c>
      <c r="Y152" s="9">
        <v>0</v>
      </c>
      <c r="Z152" s="9">
        <v>0</v>
      </c>
      <c r="AA152" s="9">
        <v>0.9</v>
      </c>
      <c r="AB152" s="1">
        <v>1</v>
      </c>
      <c r="AC152">
        <v>3</v>
      </c>
    </row>
    <row r="153" spans="1:29">
      <c r="A153" s="3">
        <v>151</v>
      </c>
      <c r="B153" s="1">
        <v>2</v>
      </c>
      <c r="C153" s="1">
        <v>1.05</v>
      </c>
      <c r="E153">
        <v>0</v>
      </c>
      <c r="F153">
        <v>-7.1104846035338698E-3</v>
      </c>
      <c r="G153" s="6">
        <v>100</v>
      </c>
      <c r="H153" s="9">
        <f t="shared" si="1"/>
        <v>2.2222222222222223E-2</v>
      </c>
      <c r="I153" s="10">
        <v>500</v>
      </c>
      <c r="J153" s="10">
        <v>20</v>
      </c>
      <c r="K153" s="10">
        <v>20</v>
      </c>
      <c r="L153" s="10">
        <f t="shared" si="2"/>
        <v>0</v>
      </c>
      <c r="M153" s="11">
        <f t="shared" si="3"/>
        <v>0</v>
      </c>
      <c r="Q153" s="1">
        <v>100</v>
      </c>
      <c r="X153" s="9">
        <v>0.02</v>
      </c>
      <c r="Y153" s="9">
        <v>0</v>
      </c>
      <c r="Z153" s="9">
        <v>0</v>
      </c>
      <c r="AA153" s="9">
        <v>0.9</v>
      </c>
      <c r="AB153" s="1">
        <v>1</v>
      </c>
      <c r="AC153">
        <v>2</v>
      </c>
    </row>
    <row r="154" spans="1:29">
      <c r="A154" s="3">
        <v>152</v>
      </c>
      <c r="B154" s="1">
        <v>2</v>
      </c>
      <c r="C154" s="1">
        <v>1.05</v>
      </c>
      <c r="E154">
        <v>0</v>
      </c>
      <c r="F154">
        <v>0.50112930581300397</v>
      </c>
      <c r="G154" s="6">
        <v>100</v>
      </c>
      <c r="H154" s="9">
        <f t="shared" si="1"/>
        <v>2.2222222222222223E-2</v>
      </c>
      <c r="I154" s="10">
        <v>500</v>
      </c>
      <c r="J154" s="10">
        <v>20</v>
      </c>
      <c r="K154" s="10">
        <v>20</v>
      </c>
      <c r="L154" s="10">
        <f t="shared" si="2"/>
        <v>0</v>
      </c>
      <c r="M154" s="11">
        <f t="shared" si="3"/>
        <v>0</v>
      </c>
      <c r="Q154" s="1">
        <v>100</v>
      </c>
      <c r="X154" s="9">
        <v>0.02</v>
      </c>
      <c r="Y154" s="9">
        <v>0</v>
      </c>
      <c r="Z154" s="9">
        <v>0</v>
      </c>
      <c r="AA154" s="9">
        <v>0.9</v>
      </c>
      <c r="AB154" s="1">
        <v>1</v>
      </c>
      <c r="AC154">
        <v>2</v>
      </c>
    </row>
    <row r="155" spans="1:29">
      <c r="A155" s="3">
        <v>153</v>
      </c>
      <c r="B155" s="1">
        <v>2</v>
      </c>
      <c r="C155" s="1">
        <v>1.05</v>
      </c>
      <c r="E155">
        <v>0</v>
      </c>
      <c r="F155">
        <v>0.750284453648418</v>
      </c>
      <c r="G155" s="6">
        <v>100</v>
      </c>
      <c r="H155" s="9">
        <f t="shared" si="1"/>
        <v>2.2222222222222223E-2</v>
      </c>
      <c r="I155" s="10">
        <v>500</v>
      </c>
      <c r="J155" s="10">
        <v>20</v>
      </c>
      <c r="K155" s="10">
        <v>20</v>
      </c>
      <c r="L155" s="10">
        <f t="shared" si="2"/>
        <v>0</v>
      </c>
      <c r="M155" s="11">
        <f t="shared" si="3"/>
        <v>0</v>
      </c>
      <c r="Q155" s="1">
        <v>100</v>
      </c>
      <c r="X155" s="9">
        <v>0.02</v>
      </c>
      <c r="Y155" s="9">
        <v>0</v>
      </c>
      <c r="Z155" s="9">
        <v>0</v>
      </c>
      <c r="AA155" s="9">
        <v>0.9</v>
      </c>
      <c r="AB155" s="1">
        <v>1</v>
      </c>
      <c r="AC155">
        <v>2</v>
      </c>
    </row>
    <row r="156" spans="1:29">
      <c r="A156" s="3">
        <v>154</v>
      </c>
      <c r="B156" s="1">
        <v>2</v>
      </c>
      <c r="C156" s="1">
        <v>1.05</v>
      </c>
      <c r="E156">
        <v>0</v>
      </c>
      <c r="F156">
        <v>1.1516020185799201</v>
      </c>
      <c r="G156" s="6">
        <v>100</v>
      </c>
      <c r="H156" s="9">
        <f t="shared" si="1"/>
        <v>2.2222222222222223E-2</v>
      </c>
      <c r="I156" s="10">
        <v>500</v>
      </c>
      <c r="J156" s="10">
        <v>20</v>
      </c>
      <c r="K156" s="10">
        <v>20</v>
      </c>
      <c r="L156" s="10">
        <f t="shared" si="2"/>
        <v>0</v>
      </c>
      <c r="M156" s="11">
        <f t="shared" si="3"/>
        <v>0</v>
      </c>
      <c r="Q156" s="1">
        <v>100</v>
      </c>
      <c r="X156" s="9">
        <v>0.02</v>
      </c>
      <c r="Y156" s="9">
        <v>0</v>
      </c>
      <c r="Z156" s="9">
        <v>0</v>
      </c>
      <c r="AA156" s="9">
        <v>0.9</v>
      </c>
      <c r="AB156" s="1">
        <v>1</v>
      </c>
      <c r="AC156">
        <v>2</v>
      </c>
    </row>
    <row r="157" spans="1:29">
      <c r="A157" s="3">
        <v>155</v>
      </c>
      <c r="B157" s="1">
        <v>2</v>
      </c>
      <c r="C157" s="1">
        <v>1.05</v>
      </c>
      <c r="E157">
        <v>4.7699999999999898</v>
      </c>
      <c r="F157">
        <v>-1.4673567208819902</v>
      </c>
      <c r="G157" s="6">
        <v>100</v>
      </c>
      <c r="H157" s="9">
        <f t="shared" si="1"/>
        <v>0.12822222222222221</v>
      </c>
      <c r="I157" s="10">
        <v>500</v>
      </c>
      <c r="J157" s="10">
        <v>20</v>
      </c>
      <c r="K157" s="10">
        <v>20</v>
      </c>
      <c r="L157" s="10">
        <f t="shared" si="2"/>
        <v>0</v>
      </c>
      <c r="M157" s="11">
        <f t="shared" si="3"/>
        <v>0</v>
      </c>
      <c r="Q157" s="1">
        <v>100</v>
      </c>
      <c r="X157" s="9">
        <v>0.02</v>
      </c>
      <c r="Y157" s="9">
        <v>0</v>
      </c>
      <c r="Z157" s="9">
        <v>0</v>
      </c>
      <c r="AA157" s="9">
        <v>0.9</v>
      </c>
      <c r="AB157" s="1">
        <v>5.77</v>
      </c>
      <c r="AC157">
        <v>2</v>
      </c>
    </row>
    <row r="158" spans="1:29">
      <c r="A158" s="3">
        <v>156</v>
      </c>
      <c r="B158" s="1">
        <v>2</v>
      </c>
      <c r="C158" s="1">
        <v>1.05</v>
      </c>
      <c r="E158">
        <v>0</v>
      </c>
      <c r="F158">
        <v>0.38577828401515496</v>
      </c>
      <c r="G158" s="6">
        <v>100</v>
      </c>
      <c r="H158" s="9">
        <f t="shared" si="1"/>
        <v>2.2222222222222223E-2</v>
      </c>
      <c r="I158" s="10">
        <v>500</v>
      </c>
      <c r="J158" s="10">
        <v>20</v>
      </c>
      <c r="K158" s="10">
        <v>20</v>
      </c>
      <c r="L158" s="10">
        <f t="shared" si="2"/>
        <v>0</v>
      </c>
      <c r="M158" s="11">
        <f t="shared" si="3"/>
        <v>0</v>
      </c>
      <c r="Q158" s="1">
        <v>100</v>
      </c>
      <c r="X158" s="9">
        <v>0.02</v>
      </c>
      <c r="Y158" s="9">
        <v>0</v>
      </c>
      <c r="Z158" s="9">
        <v>0</v>
      </c>
      <c r="AA158" s="9">
        <v>0.9</v>
      </c>
      <c r="AB158" s="1">
        <v>1</v>
      </c>
      <c r="AC158">
        <v>2</v>
      </c>
    </row>
    <row r="159" spans="1:29">
      <c r="A159" s="3">
        <v>157</v>
      </c>
      <c r="B159" s="1">
        <v>2</v>
      </c>
      <c r="C159" s="1">
        <v>1.05</v>
      </c>
      <c r="E159">
        <v>0.04</v>
      </c>
      <c r="F159">
        <v>1.38080426067716E-2</v>
      </c>
      <c r="G159" s="6">
        <v>100</v>
      </c>
      <c r="H159" s="9">
        <f t="shared" si="1"/>
        <v>2.3111111111111114E-2</v>
      </c>
      <c r="I159" s="10">
        <v>500</v>
      </c>
      <c r="J159" s="10">
        <v>20</v>
      </c>
      <c r="K159" s="10">
        <v>20</v>
      </c>
      <c r="L159" s="10">
        <f t="shared" si="2"/>
        <v>0</v>
      </c>
      <c r="M159" s="11">
        <f t="shared" si="3"/>
        <v>0</v>
      </c>
      <c r="Q159" s="1">
        <v>100</v>
      </c>
      <c r="X159" s="9">
        <v>0.02</v>
      </c>
      <c r="Y159" s="9">
        <v>0</v>
      </c>
      <c r="Z159" s="9">
        <v>0</v>
      </c>
      <c r="AA159" s="9">
        <v>0.9</v>
      </c>
      <c r="AB159" s="1">
        <v>1.04</v>
      </c>
      <c r="AC159">
        <v>2</v>
      </c>
    </row>
    <row r="160" spans="1:29">
      <c r="A160" s="3">
        <v>158</v>
      </c>
      <c r="B160" s="1">
        <v>2</v>
      </c>
      <c r="C160" s="1">
        <v>1.05</v>
      </c>
      <c r="E160">
        <v>6.07</v>
      </c>
      <c r="F160">
        <v>-1.02230571747459</v>
      </c>
      <c r="G160" s="6">
        <v>100</v>
      </c>
      <c r="H160" s="9">
        <f t="shared" si="1"/>
        <v>0.15711111111111112</v>
      </c>
      <c r="I160" s="10">
        <v>500</v>
      </c>
      <c r="J160" s="10">
        <v>20</v>
      </c>
      <c r="K160" s="10">
        <v>20</v>
      </c>
      <c r="L160" s="10">
        <f t="shared" si="2"/>
        <v>0</v>
      </c>
      <c r="M160" s="11">
        <f t="shared" si="3"/>
        <v>0</v>
      </c>
      <c r="Q160" s="1">
        <v>100</v>
      </c>
      <c r="X160" s="9">
        <v>0.02</v>
      </c>
      <c r="Y160" s="9">
        <v>0</v>
      </c>
      <c r="Z160" s="9">
        <v>0</v>
      </c>
      <c r="AA160" s="9">
        <v>0.9</v>
      </c>
      <c r="AB160" s="1">
        <v>7.07</v>
      </c>
      <c r="AC160">
        <v>2</v>
      </c>
    </row>
    <row r="161" spans="1:29">
      <c r="A161" s="3">
        <v>159</v>
      </c>
      <c r="B161" s="1">
        <v>2</v>
      </c>
      <c r="C161" s="1">
        <v>1.05</v>
      </c>
      <c r="E161">
        <v>0</v>
      </c>
      <c r="F161">
        <v>0.82248307630245998</v>
      </c>
      <c r="G161" s="6">
        <v>100</v>
      </c>
      <c r="H161" s="9">
        <f t="shared" si="1"/>
        <v>2.2222222222222223E-2</v>
      </c>
      <c r="I161" s="10">
        <v>500</v>
      </c>
      <c r="J161" s="10">
        <v>20</v>
      </c>
      <c r="K161" s="10">
        <v>20</v>
      </c>
      <c r="L161" s="10">
        <f t="shared" si="2"/>
        <v>0</v>
      </c>
      <c r="M161" s="11">
        <f t="shared" si="3"/>
        <v>0</v>
      </c>
      <c r="Q161" s="1">
        <v>100</v>
      </c>
      <c r="X161" s="9">
        <v>0.02</v>
      </c>
      <c r="Y161" s="9">
        <v>0</v>
      </c>
      <c r="Z161" s="9">
        <v>0</v>
      </c>
      <c r="AA161" s="9">
        <v>0.9</v>
      </c>
      <c r="AB161" s="1">
        <v>1</v>
      </c>
      <c r="AC161">
        <v>2</v>
      </c>
    </row>
    <row r="162" spans="1:29">
      <c r="A162" s="3">
        <v>160</v>
      </c>
      <c r="B162" s="1">
        <v>2</v>
      </c>
      <c r="C162" s="1">
        <v>1.05</v>
      </c>
      <c r="E162">
        <v>0</v>
      </c>
      <c r="F162">
        <v>1.1433598189886799E-3</v>
      </c>
      <c r="G162" s="6">
        <v>100</v>
      </c>
      <c r="H162" s="9">
        <f t="shared" si="1"/>
        <v>2.2222222222222223E-2</v>
      </c>
      <c r="I162" s="10">
        <v>500</v>
      </c>
      <c r="J162" s="10">
        <v>20</v>
      </c>
      <c r="K162" s="10">
        <v>20</v>
      </c>
      <c r="L162" s="10">
        <f t="shared" si="2"/>
        <v>0</v>
      </c>
      <c r="M162" s="11">
        <f t="shared" si="3"/>
        <v>0</v>
      </c>
      <c r="Q162" s="1">
        <v>100</v>
      </c>
      <c r="X162" s="9">
        <v>0.02</v>
      </c>
      <c r="Y162" s="9">
        <v>0</v>
      </c>
      <c r="Z162" s="9">
        <v>0</v>
      </c>
      <c r="AA162" s="9">
        <v>0.9</v>
      </c>
      <c r="AB162" s="1">
        <v>1</v>
      </c>
      <c r="AC162">
        <v>2</v>
      </c>
    </row>
    <row r="163" spans="1:29">
      <c r="A163" s="3">
        <v>161</v>
      </c>
      <c r="B163" s="1">
        <v>2</v>
      </c>
      <c r="C163" s="1">
        <v>1.05</v>
      </c>
      <c r="E163">
        <v>0</v>
      </c>
      <c r="F163">
        <v>0.54304586030892799</v>
      </c>
      <c r="G163" s="6">
        <v>100</v>
      </c>
      <c r="H163" s="9">
        <f t="shared" si="1"/>
        <v>2.2222222222222223E-2</v>
      </c>
      <c r="I163" s="10">
        <v>500</v>
      </c>
      <c r="J163" s="10">
        <v>20</v>
      </c>
      <c r="K163" s="10">
        <v>20</v>
      </c>
      <c r="L163" s="10">
        <f t="shared" si="2"/>
        <v>0</v>
      </c>
      <c r="M163" s="11">
        <f t="shared" si="3"/>
        <v>0</v>
      </c>
      <c r="Q163" s="1">
        <v>100</v>
      </c>
      <c r="X163" s="9">
        <v>0.02</v>
      </c>
      <c r="Y163" s="9">
        <v>0</v>
      </c>
      <c r="Z163" s="9">
        <v>0</v>
      </c>
      <c r="AA163" s="9">
        <v>0.9</v>
      </c>
      <c r="AB163" s="1">
        <v>1</v>
      </c>
      <c r="AC163">
        <v>2</v>
      </c>
    </row>
    <row r="164" spans="1:29">
      <c r="A164" s="3">
        <v>162</v>
      </c>
      <c r="B164" s="1">
        <v>2</v>
      </c>
      <c r="C164" s="1">
        <v>1.05</v>
      </c>
      <c r="E164">
        <v>0</v>
      </c>
      <c r="F164">
        <v>5.6698747709834497E-2</v>
      </c>
      <c r="G164" s="6">
        <v>100</v>
      </c>
      <c r="H164" s="9">
        <f t="shared" si="1"/>
        <v>2.2222222222222223E-2</v>
      </c>
      <c r="I164" s="10">
        <v>500</v>
      </c>
      <c r="J164" s="10">
        <v>20</v>
      </c>
      <c r="K164" s="10">
        <v>20</v>
      </c>
      <c r="L164" s="10">
        <f t="shared" si="2"/>
        <v>0</v>
      </c>
      <c r="M164" s="11">
        <f t="shared" si="3"/>
        <v>0</v>
      </c>
      <c r="Q164" s="1">
        <v>100</v>
      </c>
      <c r="X164" s="9">
        <v>0.02</v>
      </c>
      <c r="Y164" s="9">
        <v>0</v>
      </c>
      <c r="Z164" s="9">
        <v>0</v>
      </c>
      <c r="AA164" s="9">
        <v>0.9</v>
      </c>
      <c r="AB164" s="1">
        <v>1</v>
      </c>
      <c r="AC164">
        <v>2</v>
      </c>
    </row>
    <row r="165" spans="1:29">
      <c r="A165" s="3">
        <v>163</v>
      </c>
      <c r="B165" s="1">
        <v>2</v>
      </c>
      <c r="C165" s="1">
        <v>1.05</v>
      </c>
      <c r="E165">
        <v>2.52</v>
      </c>
      <c r="F165">
        <v>2.0000615893374398E-2</v>
      </c>
      <c r="G165" s="6">
        <v>100</v>
      </c>
      <c r="H165" s="9">
        <f t="shared" si="1"/>
        <v>7.8222222222222221E-2</v>
      </c>
      <c r="I165" s="10">
        <v>500</v>
      </c>
      <c r="J165" s="10">
        <v>20</v>
      </c>
      <c r="K165" s="10">
        <v>20</v>
      </c>
      <c r="L165" s="10">
        <f t="shared" si="2"/>
        <v>0</v>
      </c>
      <c r="M165" s="11">
        <f t="shared" si="3"/>
        <v>0</v>
      </c>
      <c r="Q165" s="1">
        <v>100</v>
      </c>
      <c r="X165" s="9">
        <v>0.02</v>
      </c>
      <c r="Y165" s="9">
        <v>0</v>
      </c>
      <c r="Z165" s="9">
        <v>0</v>
      </c>
      <c r="AA165" s="9">
        <v>0.9</v>
      </c>
      <c r="AB165" s="1">
        <v>3.52</v>
      </c>
      <c r="AC165">
        <v>2</v>
      </c>
    </row>
    <row r="166" spans="1:29">
      <c r="A166" s="3">
        <v>164</v>
      </c>
      <c r="B166" s="1">
        <v>2</v>
      </c>
      <c r="C166" s="1">
        <v>1.05</v>
      </c>
      <c r="E166">
        <v>0.4</v>
      </c>
      <c r="F166">
        <v>0.15038890323448401</v>
      </c>
      <c r="G166" s="6">
        <v>100</v>
      </c>
      <c r="H166" s="9">
        <f t="shared" si="1"/>
        <v>3.1111111111111107E-2</v>
      </c>
      <c r="I166" s="10">
        <v>500</v>
      </c>
      <c r="J166" s="10">
        <v>20</v>
      </c>
      <c r="K166" s="10">
        <v>20</v>
      </c>
      <c r="L166" s="10">
        <f t="shared" si="2"/>
        <v>0</v>
      </c>
      <c r="M166" s="11">
        <f t="shared" si="3"/>
        <v>0</v>
      </c>
      <c r="Q166" s="1">
        <v>100</v>
      </c>
      <c r="X166" s="9">
        <v>0.02</v>
      </c>
      <c r="Y166" s="9">
        <v>0</v>
      </c>
      <c r="Z166" s="9">
        <v>0</v>
      </c>
      <c r="AA166" s="9">
        <v>0.9</v>
      </c>
      <c r="AB166" s="1">
        <v>1.4</v>
      </c>
      <c r="AC166">
        <v>2</v>
      </c>
    </row>
    <row r="167" spans="1:29">
      <c r="A167" s="3">
        <v>165</v>
      </c>
      <c r="B167" s="1">
        <v>2</v>
      </c>
      <c r="C167" s="1">
        <v>1.05</v>
      </c>
      <c r="E167">
        <v>0</v>
      </c>
      <c r="F167">
        <v>0.32492875783611197</v>
      </c>
      <c r="G167" s="6">
        <v>100</v>
      </c>
      <c r="H167" s="9">
        <f t="shared" si="1"/>
        <v>2.2222222222222223E-2</v>
      </c>
      <c r="I167" s="10">
        <v>500</v>
      </c>
      <c r="J167" s="10">
        <v>20</v>
      </c>
      <c r="K167" s="10">
        <v>20</v>
      </c>
      <c r="L167" s="10">
        <f t="shared" si="2"/>
        <v>0</v>
      </c>
      <c r="M167" s="11">
        <f t="shared" si="3"/>
        <v>0</v>
      </c>
      <c r="Q167" s="1">
        <v>100</v>
      </c>
      <c r="X167" s="9">
        <v>0.02</v>
      </c>
      <c r="Y167" s="9">
        <v>0</v>
      </c>
      <c r="Z167" s="9">
        <v>0</v>
      </c>
      <c r="AA167" s="9">
        <v>0.9</v>
      </c>
      <c r="AB167" s="1">
        <v>1</v>
      </c>
      <c r="AC167">
        <v>2</v>
      </c>
    </row>
    <row r="168" spans="1:29">
      <c r="A168" s="3">
        <v>166</v>
      </c>
      <c r="B168" s="1">
        <v>2</v>
      </c>
      <c r="C168" s="1">
        <v>1.05</v>
      </c>
      <c r="E168">
        <v>0</v>
      </c>
      <c r="F168">
        <v>0.25949441173306798</v>
      </c>
      <c r="G168" s="6">
        <v>100</v>
      </c>
      <c r="H168" s="9">
        <f t="shared" si="1"/>
        <v>2.2222222222222223E-2</v>
      </c>
      <c r="I168" s="10">
        <v>500</v>
      </c>
      <c r="J168" s="10">
        <v>20</v>
      </c>
      <c r="K168" s="10">
        <v>20</v>
      </c>
      <c r="L168" s="10">
        <f t="shared" si="2"/>
        <v>0</v>
      </c>
      <c r="M168" s="11">
        <f t="shared" si="3"/>
        <v>0</v>
      </c>
      <c r="Q168" s="1">
        <v>100</v>
      </c>
      <c r="X168" s="9">
        <v>0.02</v>
      </c>
      <c r="Y168" s="9">
        <v>0</v>
      </c>
      <c r="Z168" s="9">
        <v>0</v>
      </c>
      <c r="AA168" s="9">
        <v>0.9</v>
      </c>
      <c r="AB168" s="1">
        <v>1</v>
      </c>
      <c r="AC168">
        <v>2</v>
      </c>
    </row>
    <row r="169" spans="1:29">
      <c r="A169" s="3">
        <v>167</v>
      </c>
      <c r="B169" s="1">
        <v>2</v>
      </c>
      <c r="C169" s="1">
        <v>1.05</v>
      </c>
      <c r="E169">
        <v>0</v>
      </c>
      <c r="F169">
        <v>0.208134998400967</v>
      </c>
      <c r="G169" s="6">
        <v>100</v>
      </c>
      <c r="H169" s="9">
        <f t="shared" si="1"/>
        <v>2.2222222222222223E-2</v>
      </c>
      <c r="I169" s="10">
        <v>500</v>
      </c>
      <c r="J169" s="10">
        <v>20</v>
      </c>
      <c r="K169" s="10">
        <v>20</v>
      </c>
      <c r="L169" s="10">
        <f t="shared" si="2"/>
        <v>0</v>
      </c>
      <c r="M169" s="11">
        <f t="shared" si="3"/>
        <v>0</v>
      </c>
      <c r="Q169" s="1">
        <v>100</v>
      </c>
      <c r="X169" s="9">
        <v>0.02</v>
      </c>
      <c r="Y169" s="9">
        <v>0</v>
      </c>
      <c r="Z169" s="9">
        <v>0</v>
      </c>
      <c r="AA169" s="9">
        <v>0.9</v>
      </c>
      <c r="AB169" s="1">
        <v>1</v>
      </c>
      <c r="AC169">
        <v>2</v>
      </c>
    </row>
    <row r="170" spans="1:29">
      <c r="A170" s="3">
        <v>168</v>
      </c>
      <c r="B170" s="1">
        <v>2</v>
      </c>
      <c r="C170" s="1">
        <v>1.05</v>
      </c>
      <c r="E170">
        <v>0</v>
      </c>
      <c r="F170">
        <v>0.25070680824943198</v>
      </c>
      <c r="G170" s="6">
        <v>100</v>
      </c>
      <c r="H170" s="9">
        <f t="shared" si="1"/>
        <v>2.2222222222222223E-2</v>
      </c>
      <c r="I170" s="10">
        <v>500</v>
      </c>
      <c r="J170" s="10">
        <v>20</v>
      </c>
      <c r="K170" s="10">
        <v>20</v>
      </c>
      <c r="L170" s="10">
        <f t="shared" si="2"/>
        <v>0</v>
      </c>
      <c r="M170" s="11">
        <f t="shared" si="3"/>
        <v>0</v>
      </c>
      <c r="Q170" s="1">
        <v>100</v>
      </c>
      <c r="X170" s="9">
        <v>0.02</v>
      </c>
      <c r="Y170" s="9">
        <v>0</v>
      </c>
      <c r="Z170" s="9">
        <v>0</v>
      </c>
      <c r="AA170" s="9">
        <v>0.9</v>
      </c>
      <c r="AB170" s="1">
        <v>1</v>
      </c>
      <c r="AC170">
        <v>2</v>
      </c>
    </row>
    <row r="171" spans="1:29">
      <c r="A171" s="3">
        <v>169</v>
      </c>
      <c r="B171" s="1">
        <v>2</v>
      </c>
      <c r="C171" s="1">
        <v>1.05</v>
      </c>
      <c r="E171">
        <v>0.36</v>
      </c>
      <c r="F171">
        <v>-0.11074194851710301</v>
      </c>
      <c r="G171" s="6">
        <v>100</v>
      </c>
      <c r="H171" s="9">
        <f t="shared" si="1"/>
        <v>3.0222222222222223E-2</v>
      </c>
      <c r="I171" s="10">
        <v>500</v>
      </c>
      <c r="J171" s="10">
        <v>20</v>
      </c>
      <c r="K171" s="10">
        <v>20</v>
      </c>
      <c r="L171" s="10">
        <f t="shared" si="2"/>
        <v>0</v>
      </c>
      <c r="M171" s="11">
        <f t="shared" si="3"/>
        <v>0</v>
      </c>
      <c r="Q171" s="1">
        <v>100</v>
      </c>
      <c r="X171" s="9">
        <v>0.02</v>
      </c>
      <c r="Y171" s="9">
        <v>0</v>
      </c>
      <c r="Z171" s="9">
        <v>0</v>
      </c>
      <c r="AA171" s="9">
        <v>0.9</v>
      </c>
      <c r="AB171" s="1">
        <v>1.36</v>
      </c>
      <c r="AC171">
        <v>2</v>
      </c>
    </row>
    <row r="172" spans="1:29">
      <c r="A172" s="3">
        <v>170</v>
      </c>
      <c r="B172" s="1">
        <v>2</v>
      </c>
      <c r="C172" s="1">
        <v>1.05</v>
      </c>
      <c r="E172">
        <v>0</v>
      </c>
      <c r="F172">
        <v>0.37630366950604904</v>
      </c>
      <c r="G172" s="6">
        <v>100</v>
      </c>
      <c r="H172" s="9">
        <f t="shared" si="1"/>
        <v>2.2222222222222223E-2</v>
      </c>
      <c r="I172" s="10">
        <v>500</v>
      </c>
      <c r="J172" s="10">
        <v>20</v>
      </c>
      <c r="K172" s="10">
        <v>20</v>
      </c>
      <c r="L172" s="10">
        <f t="shared" si="2"/>
        <v>0</v>
      </c>
      <c r="M172" s="11">
        <f t="shared" si="3"/>
        <v>0</v>
      </c>
      <c r="Q172" s="1">
        <v>100</v>
      </c>
      <c r="X172" s="9">
        <v>0.02</v>
      </c>
      <c r="Y172" s="9">
        <v>0</v>
      </c>
      <c r="Z172" s="9">
        <v>0</v>
      </c>
      <c r="AA172" s="9">
        <v>0.9</v>
      </c>
      <c r="AB172" s="1">
        <v>1</v>
      </c>
      <c r="AC172">
        <v>2</v>
      </c>
    </row>
    <row r="173" spans="1:29">
      <c r="A173" s="3">
        <v>171</v>
      </c>
      <c r="B173" s="1">
        <v>2</v>
      </c>
      <c r="C173" s="1">
        <v>1.05</v>
      </c>
      <c r="E173">
        <v>0</v>
      </c>
      <c r="F173">
        <v>-0.40458949177915299</v>
      </c>
      <c r="G173" s="6">
        <v>100</v>
      </c>
      <c r="H173" s="9">
        <f t="shared" si="1"/>
        <v>2.2222222222222223E-2</v>
      </c>
      <c r="I173" s="10">
        <v>500</v>
      </c>
      <c r="J173" s="10">
        <v>20</v>
      </c>
      <c r="K173" s="10">
        <v>20</v>
      </c>
      <c r="L173" s="10">
        <f t="shared" si="2"/>
        <v>0</v>
      </c>
      <c r="M173" s="11">
        <f t="shared" si="3"/>
        <v>0</v>
      </c>
      <c r="Q173" s="1">
        <v>100</v>
      </c>
      <c r="X173" s="9">
        <v>0.02</v>
      </c>
      <c r="Y173" s="9">
        <v>0</v>
      </c>
      <c r="Z173" s="9">
        <v>0</v>
      </c>
      <c r="AA173" s="9">
        <v>0.9</v>
      </c>
      <c r="AB173" s="1">
        <v>1</v>
      </c>
      <c r="AC173">
        <v>1</v>
      </c>
    </row>
    <row r="174" spans="1:29">
      <c r="A174" s="3">
        <v>172</v>
      </c>
      <c r="B174" s="1">
        <v>2</v>
      </c>
      <c r="C174" s="1">
        <v>1.05</v>
      </c>
      <c r="E174">
        <v>0</v>
      </c>
      <c r="F174">
        <v>1.6794430263333899</v>
      </c>
      <c r="G174" s="6">
        <v>100</v>
      </c>
      <c r="H174" s="9">
        <f t="shared" si="1"/>
        <v>2.2222222222222223E-2</v>
      </c>
      <c r="I174" s="10">
        <v>500</v>
      </c>
      <c r="J174" s="10">
        <v>20</v>
      </c>
      <c r="K174" s="10">
        <v>20</v>
      </c>
      <c r="L174" s="10">
        <f t="shared" si="2"/>
        <v>0</v>
      </c>
      <c r="M174" s="11">
        <f t="shared" si="3"/>
        <v>0</v>
      </c>
      <c r="Q174" s="1">
        <v>100</v>
      </c>
      <c r="X174" s="9">
        <v>0.02</v>
      </c>
      <c r="Y174" s="9">
        <v>0</v>
      </c>
      <c r="Z174" s="9">
        <v>0</v>
      </c>
      <c r="AA174" s="9">
        <v>0.9</v>
      </c>
      <c r="AB174" s="1">
        <v>1</v>
      </c>
      <c r="AC174">
        <v>2</v>
      </c>
    </row>
  </sheetData>
  <mergeCells count="5">
    <mergeCell ref="O1:U1"/>
    <mergeCell ref="H1:M1"/>
    <mergeCell ref="A1:G1"/>
    <mergeCell ref="V1:W1"/>
    <mergeCell ref="X1:AB1"/>
  </mergeCells>
  <phoneticPr fontId="5" type="noConversion"/>
  <conditionalFormatting sqref="C2:C120 C122:C1048576">
    <cfRule type="expression" dxfId="30" priority="127">
      <formula>IF(B2=1,TRUE,FALSE)</formula>
    </cfRule>
  </conditionalFormatting>
  <conditionalFormatting sqref="D2:D1048576">
    <cfRule type="expression" dxfId="29" priority="125">
      <formula>IF(B2=2,TRUE,FALSE)</formula>
    </cfRule>
    <cfRule type="expression" dxfId="28" priority="126">
      <formula>IF(B2=1,TRUE,FALSE)</formula>
    </cfRule>
  </conditionalFormatting>
  <conditionalFormatting sqref="E2:E1048576">
    <cfRule type="expression" dxfId="27" priority="123">
      <formula>IF(B2=3,TRUE,FALSE)</formula>
    </cfRule>
  </conditionalFormatting>
  <conditionalFormatting sqref="F2:F1048576">
    <cfRule type="expression" dxfId="26" priority="122">
      <formula>IF(B2=3,TRUE,FALSE)</formula>
    </cfRule>
    <cfRule type="expression" dxfId="25" priority="124">
      <formula>IF(B2=2,TRUE,FALSE)</formula>
    </cfRule>
  </conditionalFormatting>
  <conditionalFormatting sqref="H32:K36 N32:U36">
    <cfRule type="expression" dxfId="24" priority="35">
      <formula>$G32=12</formula>
    </cfRule>
  </conditionalFormatting>
  <conditionalFormatting sqref="H121:K174">
    <cfRule type="expression" dxfId="23" priority="3">
      <formula>$G121=12</formula>
    </cfRule>
  </conditionalFormatting>
  <conditionalFormatting sqref="H121:M174">
    <cfRule type="expression" dxfId="22" priority="1">
      <formula>$G121=11</formula>
    </cfRule>
    <cfRule type="expression" dxfId="21" priority="2">
      <formula>$G121=10</formula>
    </cfRule>
  </conditionalFormatting>
  <conditionalFormatting sqref="H6:U47">
    <cfRule type="expression" dxfId="20" priority="18">
      <formula>$G6=11</formula>
    </cfRule>
    <cfRule type="expression" dxfId="19" priority="19">
      <formula>$G6=10</formula>
    </cfRule>
  </conditionalFormatting>
  <conditionalFormatting sqref="N3:N4">
    <cfRule type="expression" dxfId="18" priority="115">
      <formula>$G3=100</formula>
    </cfRule>
  </conditionalFormatting>
  <conditionalFormatting sqref="N6:N47">
    <cfRule type="expression" dxfId="17" priority="44">
      <formula>$G6=100</formula>
    </cfRule>
  </conditionalFormatting>
  <conditionalFormatting sqref="O3:U4">
    <cfRule type="expression" dxfId="16" priority="114">
      <formula>$G3=200</formula>
    </cfRule>
  </conditionalFormatting>
  <conditionalFormatting sqref="O6:U47">
    <cfRule type="expression" dxfId="15" priority="21">
      <formula>$G6=200</formula>
    </cfRule>
  </conditionalFormatting>
  <conditionalFormatting sqref="V3:W4">
    <cfRule type="expression" dxfId="14" priority="107">
      <formula>$G3&lt;&gt;12</formula>
    </cfRule>
  </conditionalFormatting>
  <conditionalFormatting sqref="V6:W47">
    <cfRule type="expression" dxfId="13" priority="20">
      <formula>$G6&lt;&gt;12</formula>
    </cfRule>
  </conditionalFormatting>
  <conditionalFormatting sqref="X32:AA36">
    <cfRule type="expression" dxfId="12" priority="30">
      <formula>$G32=11</formula>
    </cfRule>
    <cfRule type="expression" dxfId="11" priority="31">
      <formula>$G32=10</formula>
    </cfRule>
  </conditionalFormatting>
  <conditionalFormatting sqref="X37:AA41">
    <cfRule type="expression" dxfId="10" priority="14">
      <formula>#REF!=11</formula>
    </cfRule>
    <cfRule type="expression" dxfId="9" priority="15">
      <formula>#REF!=10</formula>
    </cfRule>
  </conditionalFormatting>
  <conditionalFormatting sqref="X121:AA174">
    <cfRule type="expression" dxfId="8" priority="9">
      <formula>$G121=11</formula>
    </cfRule>
    <cfRule type="expression" dxfId="7" priority="10">
      <formula>$G121=10</formula>
    </cfRule>
  </conditionalFormatting>
  <conditionalFormatting sqref="X3:AB3 H3:U4">
    <cfRule type="expression" dxfId="6" priority="103">
      <formula>$G3=11</formula>
    </cfRule>
    <cfRule type="expression" dxfId="5" priority="104">
      <formula>$G3=10</formula>
    </cfRule>
  </conditionalFormatting>
  <conditionalFormatting sqref="X4:AB4">
    <cfRule type="expression" dxfId="4" priority="171">
      <formula>#REF!=11</formula>
    </cfRule>
    <cfRule type="expression" dxfId="3" priority="172">
      <formula>#REF!=10</formula>
    </cfRule>
  </conditionalFormatting>
  <conditionalFormatting sqref="AB32:AB41">
    <cfRule type="expression" dxfId="2" priority="13">
      <formula>IF(Y32=3,TRUE,FALSE)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AD8E-2573-4F58-9F66-B29DFBE7BF90}">
  <dimension ref="A1:F241"/>
  <sheetViews>
    <sheetView topLeftCell="A119" zoomScaleNormal="100" workbookViewId="0">
      <selection activeCell="H114" sqref="H114"/>
    </sheetView>
  </sheetViews>
  <sheetFormatPr defaultRowHeight="14.25"/>
  <sheetData>
    <row r="1" spans="1:6" ht="29.25" thickBot="1">
      <c r="A1" s="14" t="s">
        <v>0</v>
      </c>
      <c r="B1" s="14" t="s">
        <v>1</v>
      </c>
      <c r="C1" s="14" t="s">
        <v>24</v>
      </c>
      <c r="D1" s="14" t="s">
        <v>25</v>
      </c>
      <c r="E1" s="14" t="s">
        <v>26</v>
      </c>
      <c r="F1" s="35" t="s">
        <v>48</v>
      </c>
    </row>
    <row r="2" spans="1:6" ht="15" thickTop="1">
      <c r="A2" s="8">
        <v>1</v>
      </c>
      <c r="B2" s="8">
        <v>2</v>
      </c>
      <c r="C2" s="8">
        <v>3.0300000000000001E-2</v>
      </c>
      <c r="D2" s="8">
        <v>9.9900000000000003E-2</v>
      </c>
      <c r="E2" s="8">
        <v>2.5399999999999999E-2</v>
      </c>
      <c r="F2" s="36">
        <v>1</v>
      </c>
    </row>
    <row r="3" spans="1:6">
      <c r="A3" s="8">
        <v>1</v>
      </c>
      <c r="B3" s="8">
        <v>3</v>
      </c>
      <c r="C3" s="8">
        <v>1.29E-2</v>
      </c>
      <c r="D3" s="8">
        <v>4.24E-2</v>
      </c>
      <c r="E3" s="8">
        <v>1.082E-2</v>
      </c>
      <c r="F3" s="36">
        <v>1</v>
      </c>
    </row>
    <row r="4" spans="1:6">
      <c r="A4" s="8">
        <v>4</v>
      </c>
      <c r="B4" s="8">
        <v>5</v>
      </c>
      <c r="C4" s="8">
        <v>1.7600000000000001E-3</v>
      </c>
      <c r="D4" s="8">
        <v>7.9799999999999992E-3</v>
      </c>
      <c r="E4" s="8">
        <v>2.0999999999999999E-3</v>
      </c>
      <c r="F4" s="36">
        <v>1</v>
      </c>
    </row>
    <row r="5" spans="1:6">
      <c r="A5" s="8">
        <v>3</v>
      </c>
      <c r="B5" s="8">
        <v>5</v>
      </c>
      <c r="C5" s="8">
        <v>2.41E-2</v>
      </c>
      <c r="D5" s="8">
        <v>0.108</v>
      </c>
      <c r="E5" s="8">
        <v>2.8400000000000002E-2</v>
      </c>
      <c r="F5" s="36">
        <v>1</v>
      </c>
    </row>
    <row r="6" spans="1:6">
      <c r="A6" s="8">
        <v>5</v>
      </c>
      <c r="B6" s="8">
        <v>6</v>
      </c>
      <c r="C6" s="8">
        <v>1.1900000000000001E-2</v>
      </c>
      <c r="D6" s="8">
        <v>5.3999999999999999E-2</v>
      </c>
      <c r="E6" s="8">
        <v>1.426E-2</v>
      </c>
      <c r="F6" s="36">
        <v>1</v>
      </c>
    </row>
    <row r="7" spans="1:6">
      <c r="A7" s="8">
        <v>6</v>
      </c>
      <c r="B7" s="8">
        <v>7</v>
      </c>
      <c r="C7" s="8">
        <v>4.5900000000000003E-3</v>
      </c>
      <c r="D7" s="8">
        <v>2.0799999999999999E-2</v>
      </c>
      <c r="E7" s="8">
        <v>5.4999999999999997E-3</v>
      </c>
      <c r="F7" s="36">
        <v>1</v>
      </c>
    </row>
    <row r="8" spans="1:6">
      <c r="A8" s="8">
        <v>8</v>
      </c>
      <c r="B8" s="8">
        <v>9</v>
      </c>
      <c r="C8" s="8">
        <v>2.4399999999999999E-3</v>
      </c>
      <c r="D8" s="8">
        <v>3.0499999999999999E-2</v>
      </c>
      <c r="E8" s="8">
        <v>1.1619999999999999</v>
      </c>
      <c r="F8" s="36">
        <v>1</v>
      </c>
    </row>
    <row r="9" spans="1:6">
      <c r="A9" s="8">
        <v>8</v>
      </c>
      <c r="B9" s="8">
        <v>5</v>
      </c>
      <c r="C9" s="8">
        <v>0</v>
      </c>
      <c r="D9" s="8">
        <v>2.6700000000000002E-2</v>
      </c>
      <c r="E9" s="8">
        <v>0</v>
      </c>
      <c r="F9" s="36">
        <v>1</v>
      </c>
    </row>
    <row r="10" spans="1:6">
      <c r="A10" s="8">
        <v>9</v>
      </c>
      <c r="B10" s="8">
        <v>10</v>
      </c>
      <c r="C10" s="8">
        <v>2.5799999999999998E-3</v>
      </c>
      <c r="D10" s="8">
        <v>3.2199999999999999E-2</v>
      </c>
      <c r="E10" s="8">
        <v>1.23</v>
      </c>
      <c r="F10" s="36">
        <v>1</v>
      </c>
    </row>
    <row r="11" spans="1:6">
      <c r="A11" s="8">
        <v>4</v>
      </c>
      <c r="B11" s="8">
        <v>11</v>
      </c>
      <c r="C11" s="8">
        <v>2.0899999999999998E-2</v>
      </c>
      <c r="D11" s="8">
        <v>6.88E-2</v>
      </c>
      <c r="E11" s="8">
        <v>1.7479999999999999E-2</v>
      </c>
      <c r="F11" s="36">
        <v>1</v>
      </c>
    </row>
    <row r="12" spans="1:6">
      <c r="A12" s="8">
        <v>5</v>
      </c>
      <c r="B12" s="8">
        <v>11</v>
      </c>
      <c r="C12" s="8">
        <v>2.0299999999999999E-2</v>
      </c>
      <c r="D12" s="8">
        <v>6.8199999999999997E-2</v>
      </c>
      <c r="E12" s="8">
        <v>1.738E-2</v>
      </c>
      <c r="F12" s="36">
        <v>1</v>
      </c>
    </row>
    <row r="13" spans="1:6">
      <c r="A13" s="8">
        <v>11</v>
      </c>
      <c r="B13" s="8">
        <v>12</v>
      </c>
      <c r="C13" s="8">
        <v>5.9500000000000004E-3</v>
      </c>
      <c r="D13" s="8">
        <v>1.9599999999999999E-2</v>
      </c>
      <c r="E13" s="8">
        <v>5.0200000000000002E-3</v>
      </c>
      <c r="F13" s="36">
        <v>1</v>
      </c>
    </row>
    <row r="14" spans="1:6">
      <c r="A14" s="8">
        <v>2</v>
      </c>
      <c r="B14" s="8">
        <v>12</v>
      </c>
      <c r="C14" s="8">
        <v>1.8700000000000001E-2</v>
      </c>
      <c r="D14" s="8">
        <v>6.1600000000000002E-2</v>
      </c>
      <c r="E14" s="8">
        <v>1.5720000000000001E-2</v>
      </c>
      <c r="F14" s="36">
        <v>1</v>
      </c>
    </row>
    <row r="15" spans="1:6">
      <c r="A15" s="8">
        <v>3</v>
      </c>
      <c r="B15" s="8">
        <v>12</v>
      </c>
      <c r="C15" s="8">
        <v>4.8399999999999999E-2</v>
      </c>
      <c r="D15" s="8">
        <v>0.16</v>
      </c>
      <c r="E15" s="8">
        <v>4.0599999999999997E-2</v>
      </c>
      <c r="F15" s="36">
        <v>1</v>
      </c>
    </row>
    <row r="16" spans="1:6">
      <c r="A16" s="8">
        <v>7</v>
      </c>
      <c r="B16" s="8">
        <v>12</v>
      </c>
      <c r="C16" s="8">
        <v>8.6199999999999992E-3</v>
      </c>
      <c r="D16" s="8">
        <v>3.4000000000000002E-2</v>
      </c>
      <c r="E16" s="8">
        <v>8.7399999999999995E-3</v>
      </c>
      <c r="F16" s="36">
        <v>1</v>
      </c>
    </row>
    <row r="17" spans="1:6">
      <c r="A17" s="8">
        <v>11</v>
      </c>
      <c r="B17" s="8">
        <v>13</v>
      </c>
      <c r="C17" s="8">
        <v>2.2249999999999999E-2</v>
      </c>
      <c r="D17" s="8">
        <v>7.3099999999999998E-2</v>
      </c>
      <c r="E17" s="8">
        <v>1.8759999999999999E-2</v>
      </c>
      <c r="F17" s="36">
        <v>1</v>
      </c>
    </row>
    <row r="18" spans="1:6">
      <c r="A18" s="8">
        <v>12</v>
      </c>
      <c r="B18" s="8">
        <v>14</v>
      </c>
      <c r="C18" s="8">
        <v>2.1499999999999998E-2</v>
      </c>
      <c r="D18" s="8">
        <v>7.0699999999999999E-2</v>
      </c>
      <c r="E18" s="8">
        <v>1.8159999999999999E-2</v>
      </c>
      <c r="F18" s="36">
        <v>1</v>
      </c>
    </row>
    <row r="19" spans="1:6">
      <c r="A19" s="8">
        <v>13</v>
      </c>
      <c r="B19" s="8">
        <v>15</v>
      </c>
      <c r="C19" s="8">
        <v>7.4399999999999994E-2</v>
      </c>
      <c r="D19" s="8">
        <v>0.24440000000000001</v>
      </c>
      <c r="E19" s="8">
        <v>6.268E-2</v>
      </c>
      <c r="F19" s="36">
        <v>1</v>
      </c>
    </row>
    <row r="20" spans="1:6">
      <c r="A20" s="8">
        <v>14</v>
      </c>
      <c r="B20" s="8">
        <v>15</v>
      </c>
      <c r="C20" s="8">
        <v>5.9499999999999997E-2</v>
      </c>
      <c r="D20" s="8">
        <v>0.19500000000000001</v>
      </c>
      <c r="E20" s="8">
        <v>5.0200000000000002E-2</v>
      </c>
      <c r="F20" s="36">
        <v>1</v>
      </c>
    </row>
    <row r="21" spans="1:6">
      <c r="A21" s="8">
        <v>12</v>
      </c>
      <c r="B21" s="8">
        <v>16</v>
      </c>
      <c r="C21" s="8">
        <v>2.12E-2</v>
      </c>
      <c r="D21" s="8">
        <v>8.3400000000000002E-2</v>
      </c>
      <c r="E21" s="8">
        <v>2.1399999999999999E-2</v>
      </c>
      <c r="F21" s="36">
        <v>1</v>
      </c>
    </row>
    <row r="22" spans="1:6">
      <c r="A22" s="8">
        <v>15</v>
      </c>
      <c r="B22" s="8">
        <v>17</v>
      </c>
      <c r="C22" s="8">
        <v>1.32E-2</v>
      </c>
      <c r="D22" s="8">
        <v>4.3700000000000003E-2</v>
      </c>
      <c r="E22" s="8">
        <v>4.4400000000000002E-2</v>
      </c>
      <c r="F22" s="37">
        <v>1</v>
      </c>
    </row>
    <row r="23" spans="1:6">
      <c r="A23" s="8">
        <v>16</v>
      </c>
      <c r="B23" s="8">
        <v>17</v>
      </c>
      <c r="C23" s="8">
        <v>4.5400000000000003E-2</v>
      </c>
      <c r="D23" s="8">
        <v>0.18010000000000001</v>
      </c>
      <c r="E23" s="8">
        <v>4.6600000000000003E-2</v>
      </c>
      <c r="F23" s="37">
        <v>1</v>
      </c>
    </row>
    <row r="24" spans="1:6">
      <c r="A24" s="8">
        <v>17</v>
      </c>
      <c r="B24" s="8">
        <v>18</v>
      </c>
      <c r="C24" s="8">
        <v>1.23E-2</v>
      </c>
      <c r="D24" s="8">
        <v>5.0500000000000003E-2</v>
      </c>
      <c r="E24" s="8">
        <v>1.298E-2</v>
      </c>
      <c r="F24" s="37">
        <v>1</v>
      </c>
    </row>
    <row r="25" spans="1:6">
      <c r="A25" s="8">
        <v>18</v>
      </c>
      <c r="B25" s="8">
        <v>19</v>
      </c>
      <c r="C25" s="8">
        <v>1.119E-2</v>
      </c>
      <c r="D25" s="8">
        <v>4.9299999999999997E-2</v>
      </c>
      <c r="E25" s="8">
        <v>1.142E-2</v>
      </c>
      <c r="F25" s="37">
        <v>1</v>
      </c>
    </row>
    <row r="26" spans="1:6">
      <c r="A26" s="8">
        <v>19</v>
      </c>
      <c r="B26" s="8">
        <v>20</v>
      </c>
      <c r="C26" s="8">
        <v>2.52E-2</v>
      </c>
      <c r="D26" s="8">
        <v>0.11700000000000001</v>
      </c>
      <c r="E26" s="8">
        <v>2.98E-2</v>
      </c>
      <c r="F26" s="37">
        <v>1</v>
      </c>
    </row>
    <row r="27" spans="1:6">
      <c r="A27" s="8">
        <v>15</v>
      </c>
      <c r="B27" s="8">
        <v>19</v>
      </c>
      <c r="C27" s="8">
        <v>1.2E-2</v>
      </c>
      <c r="D27" s="8">
        <v>3.9399999999999998E-2</v>
      </c>
      <c r="E27" s="8">
        <v>1.01E-2</v>
      </c>
      <c r="F27" s="37">
        <v>1</v>
      </c>
    </row>
    <row r="28" spans="1:6">
      <c r="A28" s="8">
        <v>20</v>
      </c>
      <c r="B28" s="8">
        <v>21</v>
      </c>
      <c r="C28" s="8">
        <v>1.83E-2</v>
      </c>
      <c r="D28" s="8">
        <v>8.4900000000000003E-2</v>
      </c>
      <c r="E28" s="8">
        <v>2.1600000000000001E-2</v>
      </c>
      <c r="F28" s="37">
        <v>1</v>
      </c>
    </row>
    <row r="29" spans="1:6">
      <c r="A29" s="8">
        <v>21</v>
      </c>
      <c r="B29" s="8">
        <v>22</v>
      </c>
      <c r="C29" s="8">
        <v>2.0899999999999998E-2</v>
      </c>
      <c r="D29" s="8">
        <v>9.7000000000000003E-2</v>
      </c>
      <c r="E29" s="8">
        <v>2.46E-2</v>
      </c>
      <c r="F29" s="37">
        <v>1</v>
      </c>
    </row>
    <row r="30" spans="1:6">
      <c r="A30" s="8">
        <v>22</v>
      </c>
      <c r="B30" s="8">
        <v>23</v>
      </c>
      <c r="C30" s="8">
        <v>3.4200000000000001E-2</v>
      </c>
      <c r="D30" s="8">
        <v>0.159</v>
      </c>
      <c r="E30" s="8">
        <v>4.0399999999999998E-2</v>
      </c>
      <c r="F30" s="37">
        <v>1</v>
      </c>
    </row>
    <row r="31" spans="1:6">
      <c r="A31" s="8">
        <v>23</v>
      </c>
      <c r="B31" s="8">
        <v>24</v>
      </c>
      <c r="C31" s="8">
        <v>1.35E-2</v>
      </c>
      <c r="D31" s="8">
        <v>4.9200000000000001E-2</v>
      </c>
      <c r="E31" s="8">
        <v>4.9799999999999997E-2</v>
      </c>
      <c r="F31" s="37">
        <v>1</v>
      </c>
    </row>
    <row r="32" spans="1:6">
      <c r="A32" s="8">
        <v>23</v>
      </c>
      <c r="B32" s="8">
        <v>25</v>
      </c>
      <c r="C32" s="8">
        <v>1.5599999999999999E-2</v>
      </c>
      <c r="D32" s="8">
        <v>0.08</v>
      </c>
      <c r="E32" s="8">
        <v>8.6400000000000005E-2</v>
      </c>
      <c r="F32" s="37">
        <v>1</v>
      </c>
    </row>
    <row r="33" spans="1:6">
      <c r="A33" s="8">
        <v>26</v>
      </c>
      <c r="B33" s="8">
        <v>25</v>
      </c>
      <c r="C33" s="8">
        <v>0</v>
      </c>
      <c r="D33" s="8">
        <v>3.8199999999999998E-2</v>
      </c>
      <c r="E33" s="8">
        <v>0</v>
      </c>
      <c r="F33" s="37">
        <v>1</v>
      </c>
    </row>
    <row r="34" spans="1:6">
      <c r="A34" s="8">
        <v>25</v>
      </c>
      <c r="B34" s="8">
        <v>27</v>
      </c>
      <c r="C34" s="8">
        <v>3.1800000000000002E-2</v>
      </c>
      <c r="D34" s="8">
        <v>0.16300000000000001</v>
      </c>
      <c r="E34" s="8">
        <v>0.1764</v>
      </c>
      <c r="F34" s="37">
        <v>1</v>
      </c>
    </row>
    <row r="35" spans="1:6">
      <c r="A35" s="8">
        <v>27</v>
      </c>
      <c r="B35" s="8">
        <v>28</v>
      </c>
      <c r="C35" s="8">
        <v>1.9130000000000001E-2</v>
      </c>
      <c r="D35" s="8">
        <v>8.5500000000000007E-2</v>
      </c>
      <c r="E35" s="8">
        <v>2.1600000000000001E-2</v>
      </c>
      <c r="F35" s="37">
        <v>1</v>
      </c>
    </row>
    <row r="36" spans="1:6">
      <c r="A36" s="8">
        <v>28</v>
      </c>
      <c r="B36" s="8">
        <v>29</v>
      </c>
      <c r="C36" s="8">
        <v>2.3699999999999999E-2</v>
      </c>
      <c r="D36" s="8">
        <v>9.4299999999999995E-2</v>
      </c>
      <c r="E36" s="8">
        <v>2.3800000000000002E-2</v>
      </c>
      <c r="F36" s="37">
        <v>1</v>
      </c>
    </row>
    <row r="37" spans="1:6">
      <c r="A37" s="8">
        <v>30</v>
      </c>
      <c r="B37" s="8">
        <v>17</v>
      </c>
      <c r="C37" s="8">
        <v>0</v>
      </c>
      <c r="D37" s="8">
        <v>3.8800000000000001E-2</v>
      </c>
      <c r="E37" s="8">
        <v>0</v>
      </c>
      <c r="F37" s="37">
        <v>1</v>
      </c>
    </row>
    <row r="38" spans="1:6">
      <c r="A38" s="8">
        <v>8</v>
      </c>
      <c r="B38" s="8">
        <v>30</v>
      </c>
      <c r="C38" s="8">
        <v>4.3099999999999996E-3</v>
      </c>
      <c r="D38" s="8">
        <v>5.04E-2</v>
      </c>
      <c r="E38" s="8">
        <v>0.51400000000000001</v>
      </c>
      <c r="F38" s="37">
        <v>1</v>
      </c>
    </row>
    <row r="39" spans="1:6">
      <c r="A39" s="8">
        <v>26</v>
      </c>
      <c r="B39" s="8">
        <v>30</v>
      </c>
      <c r="C39" s="8">
        <v>7.9900000000000006E-3</v>
      </c>
      <c r="D39" s="8">
        <v>8.5999999999999993E-2</v>
      </c>
      <c r="E39" s="8">
        <v>0.90800000000000003</v>
      </c>
      <c r="F39" s="37">
        <v>1</v>
      </c>
    </row>
    <row r="40" spans="1:6">
      <c r="A40" s="30">
        <v>17</v>
      </c>
      <c r="B40" s="30">
        <v>31</v>
      </c>
      <c r="C40" s="30">
        <v>4.7399999999999998E-2</v>
      </c>
      <c r="D40" s="30">
        <v>0.15629999999999999</v>
      </c>
      <c r="E40" s="30">
        <v>3.9899999999999998E-2</v>
      </c>
      <c r="F40" s="37">
        <v>1</v>
      </c>
    </row>
    <row r="41" spans="1:6">
      <c r="A41">
        <v>29</v>
      </c>
      <c r="B41">
        <v>31</v>
      </c>
      <c r="C41">
        <v>1.0800000000000001E-2</v>
      </c>
      <c r="D41">
        <v>3.3099999999999997E-2</v>
      </c>
      <c r="E41">
        <v>8.3000000000000001E-3</v>
      </c>
      <c r="F41" s="37">
        <v>1</v>
      </c>
    </row>
    <row r="42" spans="1:6">
      <c r="A42">
        <v>23</v>
      </c>
      <c r="B42">
        <v>32</v>
      </c>
      <c r="C42">
        <v>3.1699999999999999E-2</v>
      </c>
      <c r="D42">
        <v>0.1153</v>
      </c>
      <c r="E42">
        <v>0.1173</v>
      </c>
      <c r="F42" s="37">
        <v>1</v>
      </c>
    </row>
    <row r="43" spans="1:6">
      <c r="A43">
        <v>31</v>
      </c>
      <c r="B43">
        <v>32</v>
      </c>
      <c r="C43">
        <v>2.98E-2</v>
      </c>
      <c r="D43">
        <v>9.8500000000000004E-2</v>
      </c>
      <c r="E43">
        <v>2.5100000000000001E-2</v>
      </c>
      <c r="F43" s="37">
        <v>1</v>
      </c>
    </row>
    <row r="44" spans="1:6">
      <c r="A44">
        <v>27</v>
      </c>
      <c r="B44">
        <v>32</v>
      </c>
      <c r="C44">
        <v>2.29E-2</v>
      </c>
      <c r="D44">
        <v>7.5499999999999998E-2</v>
      </c>
      <c r="E44">
        <v>1.9259999999999999E-2</v>
      </c>
      <c r="F44" s="37">
        <v>1</v>
      </c>
    </row>
    <row r="45" spans="1:6">
      <c r="A45">
        <v>15</v>
      </c>
      <c r="B45">
        <v>33</v>
      </c>
      <c r="C45">
        <v>3.7999999999999999E-2</v>
      </c>
      <c r="D45">
        <v>0.1244</v>
      </c>
      <c r="E45">
        <v>3.1940000000000003E-2</v>
      </c>
      <c r="F45" s="37">
        <v>2</v>
      </c>
    </row>
    <row r="46" spans="1:6">
      <c r="A46">
        <v>19</v>
      </c>
      <c r="B46">
        <v>34</v>
      </c>
      <c r="C46">
        <v>7.5200000000000003E-2</v>
      </c>
      <c r="D46">
        <v>0.247</v>
      </c>
      <c r="E46">
        <v>6.3200000000000006E-2</v>
      </c>
      <c r="F46" s="37">
        <v>2</v>
      </c>
    </row>
    <row r="47" spans="1:6">
      <c r="A47">
        <v>35</v>
      </c>
      <c r="B47">
        <v>36</v>
      </c>
      <c r="C47">
        <v>2.2399999999999998E-3</v>
      </c>
      <c r="D47">
        <v>1.0200000000000001E-2</v>
      </c>
      <c r="E47">
        <v>2.6800000000000001E-3</v>
      </c>
      <c r="F47" s="37">
        <v>2</v>
      </c>
    </row>
    <row r="48" spans="1:6">
      <c r="A48">
        <v>35</v>
      </c>
      <c r="B48">
        <v>37</v>
      </c>
      <c r="C48">
        <v>1.0999999999999999E-2</v>
      </c>
      <c r="D48">
        <v>4.9700000000000001E-2</v>
      </c>
      <c r="E48">
        <v>1.3180000000000001E-2</v>
      </c>
      <c r="F48" s="37">
        <v>2</v>
      </c>
    </row>
    <row r="49" spans="1:6">
      <c r="A49">
        <v>33</v>
      </c>
      <c r="B49">
        <v>37</v>
      </c>
      <c r="C49">
        <v>4.1500000000000002E-2</v>
      </c>
      <c r="D49">
        <v>0.14199999999999999</v>
      </c>
      <c r="E49">
        <v>3.6600000000000001E-2</v>
      </c>
      <c r="F49" s="37">
        <v>2</v>
      </c>
    </row>
    <row r="50" spans="1:6">
      <c r="A50">
        <v>34</v>
      </c>
      <c r="B50">
        <v>36</v>
      </c>
      <c r="C50">
        <v>8.7100000000000007E-3</v>
      </c>
      <c r="D50">
        <v>2.6800000000000001E-2</v>
      </c>
      <c r="E50">
        <v>5.6800000000000002E-3</v>
      </c>
      <c r="F50" s="37">
        <v>2</v>
      </c>
    </row>
    <row r="51" spans="1:6">
      <c r="A51">
        <v>34</v>
      </c>
      <c r="B51">
        <v>37</v>
      </c>
      <c r="C51">
        <v>2.5600000000000002E-3</v>
      </c>
      <c r="D51">
        <v>9.4000000000000004E-3</v>
      </c>
      <c r="E51">
        <v>9.8399999999999998E-3</v>
      </c>
      <c r="F51" s="37">
        <v>2</v>
      </c>
    </row>
    <row r="52" spans="1:6">
      <c r="A52">
        <v>37</v>
      </c>
      <c r="B52">
        <v>38</v>
      </c>
      <c r="C52">
        <v>0</v>
      </c>
      <c r="D52">
        <v>3.7499999999999999E-2</v>
      </c>
      <c r="E52">
        <v>0</v>
      </c>
      <c r="F52" s="37">
        <v>2</v>
      </c>
    </row>
    <row r="53" spans="1:6">
      <c r="A53">
        <v>37</v>
      </c>
      <c r="B53">
        <v>39</v>
      </c>
      <c r="C53">
        <v>3.2099999999999997E-2</v>
      </c>
      <c r="D53">
        <v>0.106</v>
      </c>
      <c r="E53">
        <v>2.7E-2</v>
      </c>
      <c r="F53" s="37">
        <v>2</v>
      </c>
    </row>
    <row r="54" spans="1:6">
      <c r="A54">
        <v>37</v>
      </c>
      <c r="B54">
        <v>40</v>
      </c>
      <c r="C54">
        <v>5.9299999999999999E-2</v>
      </c>
      <c r="D54">
        <v>0.16800000000000001</v>
      </c>
      <c r="E54">
        <v>4.2000000000000003E-2</v>
      </c>
      <c r="F54" s="37">
        <v>2</v>
      </c>
    </row>
    <row r="55" spans="1:6">
      <c r="A55">
        <v>30</v>
      </c>
      <c r="B55">
        <v>38</v>
      </c>
      <c r="C55">
        <v>4.64E-3</v>
      </c>
      <c r="D55">
        <v>5.3999999999999999E-2</v>
      </c>
      <c r="E55">
        <v>0.42199999999999999</v>
      </c>
      <c r="F55" s="37">
        <v>2</v>
      </c>
    </row>
    <row r="56" spans="1:6">
      <c r="A56">
        <v>39</v>
      </c>
      <c r="B56">
        <v>40</v>
      </c>
      <c r="C56">
        <v>1.84E-2</v>
      </c>
      <c r="D56">
        <v>6.0499999999999998E-2</v>
      </c>
      <c r="E56">
        <v>1.5520000000000001E-2</v>
      </c>
      <c r="F56" s="37">
        <v>2</v>
      </c>
    </row>
    <row r="57" spans="1:6">
      <c r="A57">
        <v>40</v>
      </c>
      <c r="B57">
        <v>41</v>
      </c>
      <c r="C57">
        <v>1.4500000000000001E-2</v>
      </c>
      <c r="D57">
        <v>4.87E-2</v>
      </c>
      <c r="E57">
        <v>1.222E-2</v>
      </c>
      <c r="F57" s="37">
        <v>2</v>
      </c>
    </row>
    <row r="58" spans="1:6">
      <c r="A58">
        <v>40</v>
      </c>
      <c r="B58">
        <v>42</v>
      </c>
      <c r="C58">
        <v>5.5500000000000001E-2</v>
      </c>
      <c r="D58">
        <v>0.183</v>
      </c>
      <c r="E58">
        <v>4.6600000000000003E-2</v>
      </c>
      <c r="F58" s="37">
        <v>2</v>
      </c>
    </row>
    <row r="59" spans="1:6">
      <c r="A59">
        <v>41</v>
      </c>
      <c r="B59">
        <v>42</v>
      </c>
      <c r="C59">
        <v>4.1000000000000002E-2</v>
      </c>
      <c r="D59">
        <v>0.13500000000000001</v>
      </c>
      <c r="E59">
        <v>3.44E-2</v>
      </c>
      <c r="F59" s="37">
        <v>2</v>
      </c>
    </row>
    <row r="60" spans="1:6">
      <c r="A60">
        <v>43</v>
      </c>
      <c r="B60">
        <v>44</v>
      </c>
      <c r="C60">
        <v>6.08E-2</v>
      </c>
      <c r="D60">
        <v>0.24540000000000001</v>
      </c>
      <c r="E60">
        <v>6.0679999999999998E-2</v>
      </c>
      <c r="F60" s="37">
        <v>2</v>
      </c>
    </row>
    <row r="61" spans="1:6">
      <c r="A61">
        <v>34</v>
      </c>
      <c r="B61">
        <v>43</v>
      </c>
      <c r="C61">
        <v>4.1300000000000003E-2</v>
      </c>
      <c r="D61">
        <v>0.1681</v>
      </c>
      <c r="E61">
        <v>4.2259999999999999E-2</v>
      </c>
      <c r="F61" s="37">
        <v>2</v>
      </c>
    </row>
    <row r="62" spans="1:6">
      <c r="A62">
        <v>44</v>
      </c>
      <c r="B62">
        <v>45</v>
      </c>
      <c r="C62">
        <v>2.24E-2</v>
      </c>
      <c r="D62">
        <v>9.01E-2</v>
      </c>
      <c r="E62">
        <v>2.24E-2</v>
      </c>
      <c r="F62" s="37">
        <v>2</v>
      </c>
    </row>
    <row r="63" spans="1:6">
      <c r="A63">
        <v>45</v>
      </c>
      <c r="B63">
        <v>46</v>
      </c>
      <c r="C63">
        <v>0.04</v>
      </c>
      <c r="D63">
        <v>0.1356</v>
      </c>
      <c r="E63">
        <v>3.32E-2</v>
      </c>
      <c r="F63" s="37">
        <v>2</v>
      </c>
    </row>
    <row r="64" spans="1:6">
      <c r="A64">
        <v>46</v>
      </c>
      <c r="B64">
        <v>47</v>
      </c>
      <c r="C64">
        <v>3.7999999999999999E-2</v>
      </c>
      <c r="D64">
        <v>0.127</v>
      </c>
      <c r="E64">
        <v>3.1600000000000003E-2</v>
      </c>
      <c r="F64" s="37">
        <v>2</v>
      </c>
    </row>
    <row r="65" spans="1:6">
      <c r="A65">
        <v>46</v>
      </c>
      <c r="B65">
        <v>48</v>
      </c>
      <c r="C65">
        <v>6.0100000000000001E-2</v>
      </c>
      <c r="D65">
        <v>0.189</v>
      </c>
      <c r="E65">
        <v>4.7199999999999999E-2</v>
      </c>
      <c r="F65" s="37">
        <v>2</v>
      </c>
    </row>
    <row r="66" spans="1:6">
      <c r="A66">
        <v>47</v>
      </c>
      <c r="B66">
        <v>49</v>
      </c>
      <c r="C66">
        <v>1.9099999999999999E-2</v>
      </c>
      <c r="D66">
        <v>6.25E-2</v>
      </c>
      <c r="E66">
        <v>1.6039999999999999E-2</v>
      </c>
      <c r="F66" s="37">
        <v>2</v>
      </c>
    </row>
    <row r="67" spans="1:6">
      <c r="A67">
        <v>42</v>
      </c>
      <c r="B67">
        <v>49</v>
      </c>
      <c r="C67">
        <v>7.1499999999999994E-2</v>
      </c>
      <c r="D67">
        <v>0.32300000000000001</v>
      </c>
      <c r="E67">
        <v>8.5999999999999993E-2</v>
      </c>
      <c r="F67" s="37">
        <v>2</v>
      </c>
    </row>
    <row r="68" spans="1:6">
      <c r="A68">
        <v>42</v>
      </c>
      <c r="B68">
        <v>49</v>
      </c>
      <c r="C68">
        <v>7.1499999999999994E-2</v>
      </c>
      <c r="D68">
        <v>0.32300000000000001</v>
      </c>
      <c r="E68">
        <v>8.5999999999999993E-2</v>
      </c>
      <c r="F68" s="37">
        <v>2</v>
      </c>
    </row>
    <row r="69" spans="1:6">
      <c r="A69">
        <v>45</v>
      </c>
      <c r="B69">
        <v>49</v>
      </c>
      <c r="C69">
        <v>6.8400000000000002E-2</v>
      </c>
      <c r="D69">
        <v>0.186</v>
      </c>
      <c r="E69">
        <v>4.4400000000000002E-2</v>
      </c>
      <c r="F69" s="37">
        <v>2</v>
      </c>
    </row>
    <row r="70" spans="1:6">
      <c r="A70">
        <v>48</v>
      </c>
      <c r="B70">
        <v>49</v>
      </c>
      <c r="C70">
        <v>1.7899999999999999E-2</v>
      </c>
      <c r="D70">
        <v>5.0500000000000003E-2</v>
      </c>
      <c r="E70">
        <v>1.2579999999999999E-2</v>
      </c>
      <c r="F70" s="37">
        <v>2</v>
      </c>
    </row>
    <row r="71" spans="1:6">
      <c r="A71">
        <v>49</v>
      </c>
      <c r="B71">
        <v>50</v>
      </c>
      <c r="C71">
        <v>2.6700000000000002E-2</v>
      </c>
      <c r="D71">
        <v>7.5200000000000003E-2</v>
      </c>
      <c r="E71">
        <v>1.874E-2</v>
      </c>
      <c r="F71" s="37">
        <v>2</v>
      </c>
    </row>
    <row r="72" spans="1:6">
      <c r="A72">
        <v>49</v>
      </c>
      <c r="B72">
        <v>51</v>
      </c>
      <c r="C72">
        <v>4.8599999999999997E-2</v>
      </c>
      <c r="D72">
        <v>0.13700000000000001</v>
      </c>
      <c r="E72">
        <v>3.4200000000000001E-2</v>
      </c>
      <c r="F72" s="37">
        <v>2</v>
      </c>
    </row>
    <row r="73" spans="1:6">
      <c r="A73">
        <v>51</v>
      </c>
      <c r="B73">
        <v>52</v>
      </c>
      <c r="C73">
        <v>2.0299999999999999E-2</v>
      </c>
      <c r="D73">
        <v>5.8799999999999998E-2</v>
      </c>
      <c r="E73">
        <v>1.396E-2</v>
      </c>
      <c r="F73" s="37">
        <v>2</v>
      </c>
    </row>
    <row r="74" spans="1:6">
      <c r="A74">
        <v>52</v>
      </c>
      <c r="B74">
        <v>53</v>
      </c>
      <c r="C74">
        <v>4.0500000000000001E-2</v>
      </c>
      <c r="D74">
        <v>0.16350000000000001</v>
      </c>
      <c r="E74">
        <v>4.0579999999999998E-2</v>
      </c>
      <c r="F74" s="37">
        <v>2</v>
      </c>
    </row>
    <row r="75" spans="1:6">
      <c r="A75">
        <v>53</v>
      </c>
      <c r="B75">
        <v>54</v>
      </c>
      <c r="C75">
        <v>2.63E-2</v>
      </c>
      <c r="D75">
        <v>0.122</v>
      </c>
      <c r="E75">
        <v>3.1E-2</v>
      </c>
      <c r="F75" s="37">
        <v>2</v>
      </c>
    </row>
    <row r="76" spans="1:6">
      <c r="A76">
        <v>49</v>
      </c>
      <c r="B76">
        <v>54</v>
      </c>
      <c r="C76">
        <v>7.2999999999999995E-2</v>
      </c>
      <c r="D76">
        <v>0.28899999999999998</v>
      </c>
      <c r="E76">
        <v>7.3800000000000004E-2</v>
      </c>
      <c r="F76" s="37">
        <v>2</v>
      </c>
    </row>
    <row r="77" spans="1:6">
      <c r="A77">
        <v>49</v>
      </c>
      <c r="B77">
        <v>54</v>
      </c>
      <c r="C77">
        <v>8.6900000000000005E-2</v>
      </c>
      <c r="D77">
        <v>0.29099999999999998</v>
      </c>
      <c r="E77">
        <v>7.2999999999999995E-2</v>
      </c>
      <c r="F77" s="37">
        <v>2</v>
      </c>
    </row>
    <row r="78" spans="1:6">
      <c r="A78">
        <v>54</v>
      </c>
      <c r="B78">
        <v>55</v>
      </c>
      <c r="C78">
        <v>1.6899999999999998E-2</v>
      </c>
      <c r="D78">
        <v>7.0699999999999999E-2</v>
      </c>
      <c r="E78">
        <v>2.0199999999999999E-2</v>
      </c>
      <c r="F78" s="37">
        <v>2</v>
      </c>
    </row>
    <row r="79" spans="1:6">
      <c r="A79">
        <v>54</v>
      </c>
      <c r="B79">
        <v>56</v>
      </c>
      <c r="C79">
        <v>2.7499999999999998E-3</v>
      </c>
      <c r="D79">
        <v>9.5499999999999995E-3</v>
      </c>
      <c r="E79">
        <v>7.3200000000000001E-3</v>
      </c>
      <c r="F79" s="37">
        <v>2</v>
      </c>
    </row>
    <row r="80" spans="1:6">
      <c r="A80">
        <v>55</v>
      </c>
      <c r="B80">
        <v>56</v>
      </c>
      <c r="C80">
        <v>4.8799999999999998E-3</v>
      </c>
      <c r="D80">
        <v>1.5100000000000001E-2</v>
      </c>
      <c r="E80">
        <v>3.7399999999999998E-3</v>
      </c>
      <c r="F80" s="37">
        <v>2</v>
      </c>
    </row>
    <row r="81" spans="1:6">
      <c r="A81">
        <v>56</v>
      </c>
      <c r="B81">
        <v>57</v>
      </c>
      <c r="C81">
        <v>3.4299999999999997E-2</v>
      </c>
      <c r="D81">
        <v>9.6600000000000005E-2</v>
      </c>
      <c r="E81">
        <v>2.4199999999999999E-2</v>
      </c>
      <c r="F81" s="37">
        <v>2</v>
      </c>
    </row>
    <row r="82" spans="1:6">
      <c r="A82">
        <v>50</v>
      </c>
      <c r="B82">
        <v>57</v>
      </c>
      <c r="C82">
        <v>4.7399999999999998E-2</v>
      </c>
      <c r="D82">
        <v>0.13400000000000001</v>
      </c>
      <c r="E82">
        <v>3.32E-2</v>
      </c>
      <c r="F82" s="37">
        <v>2</v>
      </c>
    </row>
    <row r="83" spans="1:6">
      <c r="A83">
        <v>56</v>
      </c>
      <c r="B83">
        <v>58</v>
      </c>
      <c r="C83">
        <v>3.4299999999999997E-2</v>
      </c>
      <c r="D83">
        <v>9.6600000000000005E-2</v>
      </c>
      <c r="E83">
        <v>2.4199999999999999E-2</v>
      </c>
      <c r="F83" s="37">
        <v>2</v>
      </c>
    </row>
    <row r="84" spans="1:6">
      <c r="A84">
        <v>51</v>
      </c>
      <c r="B84">
        <v>58</v>
      </c>
      <c r="C84">
        <v>2.5499999999999998E-2</v>
      </c>
      <c r="D84">
        <v>7.1900000000000006E-2</v>
      </c>
      <c r="E84">
        <v>1.788E-2</v>
      </c>
      <c r="F84" s="37">
        <v>2</v>
      </c>
    </row>
    <row r="85" spans="1:6">
      <c r="A85">
        <v>54</v>
      </c>
      <c r="B85">
        <v>59</v>
      </c>
      <c r="C85">
        <v>5.0299999999999997E-2</v>
      </c>
      <c r="D85">
        <v>0.2293</v>
      </c>
      <c r="E85">
        <v>5.9799999999999999E-2</v>
      </c>
      <c r="F85" s="37">
        <v>2</v>
      </c>
    </row>
    <row r="86" spans="1:6">
      <c r="A86">
        <v>56</v>
      </c>
      <c r="B86">
        <v>59</v>
      </c>
      <c r="C86">
        <v>8.2500000000000004E-2</v>
      </c>
      <c r="D86">
        <v>0.251</v>
      </c>
      <c r="E86">
        <v>5.6899999999999999E-2</v>
      </c>
      <c r="F86" s="37">
        <v>2</v>
      </c>
    </row>
    <row r="87" spans="1:6">
      <c r="A87">
        <v>56</v>
      </c>
      <c r="B87">
        <v>59</v>
      </c>
      <c r="C87">
        <v>8.0299999999999996E-2</v>
      </c>
      <c r="D87">
        <v>0.23899999999999999</v>
      </c>
      <c r="E87">
        <v>5.3600000000000002E-2</v>
      </c>
      <c r="F87" s="37">
        <v>2</v>
      </c>
    </row>
    <row r="88" spans="1:6">
      <c r="A88">
        <v>55</v>
      </c>
      <c r="B88">
        <v>59</v>
      </c>
      <c r="C88">
        <v>4.7390000000000002E-2</v>
      </c>
      <c r="D88">
        <v>0.21579999999999999</v>
      </c>
      <c r="E88">
        <v>5.6460000000000003E-2</v>
      </c>
      <c r="F88" s="37">
        <v>2</v>
      </c>
    </row>
    <row r="89" spans="1:6">
      <c r="A89">
        <v>59</v>
      </c>
      <c r="B89">
        <v>60</v>
      </c>
      <c r="C89">
        <v>3.1699999999999999E-2</v>
      </c>
      <c r="D89">
        <v>0.14499999999999999</v>
      </c>
      <c r="E89">
        <v>3.7600000000000001E-2</v>
      </c>
      <c r="F89" s="37">
        <v>2</v>
      </c>
    </row>
    <row r="90" spans="1:6">
      <c r="A90">
        <v>59</v>
      </c>
      <c r="B90">
        <v>61</v>
      </c>
      <c r="C90">
        <v>3.2800000000000003E-2</v>
      </c>
      <c r="D90">
        <v>0.15</v>
      </c>
      <c r="E90">
        <v>3.8800000000000001E-2</v>
      </c>
      <c r="F90" s="37">
        <v>2</v>
      </c>
    </row>
    <row r="91" spans="1:6">
      <c r="A91">
        <v>60</v>
      </c>
      <c r="B91">
        <v>61</v>
      </c>
      <c r="C91">
        <v>2.64E-3</v>
      </c>
      <c r="D91">
        <v>1.35E-2</v>
      </c>
      <c r="E91">
        <v>1.456E-2</v>
      </c>
      <c r="F91" s="37">
        <v>2</v>
      </c>
    </row>
    <row r="92" spans="1:6">
      <c r="A92">
        <v>60</v>
      </c>
      <c r="B92">
        <v>62</v>
      </c>
      <c r="C92">
        <v>1.23E-2</v>
      </c>
      <c r="D92">
        <v>5.6099999999999997E-2</v>
      </c>
      <c r="E92">
        <v>1.468E-2</v>
      </c>
      <c r="F92" s="37">
        <v>2</v>
      </c>
    </row>
    <row r="93" spans="1:6">
      <c r="A93">
        <v>61</v>
      </c>
      <c r="B93">
        <v>62</v>
      </c>
      <c r="C93">
        <v>8.2400000000000008E-3</v>
      </c>
      <c r="D93">
        <v>3.7600000000000001E-2</v>
      </c>
      <c r="E93">
        <v>9.7999999999999997E-3</v>
      </c>
      <c r="F93" s="37">
        <v>2</v>
      </c>
    </row>
    <row r="94" spans="1:6">
      <c r="A94">
        <v>63</v>
      </c>
      <c r="B94">
        <v>59</v>
      </c>
      <c r="C94">
        <v>0</v>
      </c>
      <c r="D94">
        <v>3.8600000000000002E-2</v>
      </c>
      <c r="E94">
        <v>0</v>
      </c>
      <c r="F94" s="37">
        <v>2</v>
      </c>
    </row>
    <row r="95" spans="1:6">
      <c r="A95">
        <v>63</v>
      </c>
      <c r="B95">
        <v>64</v>
      </c>
      <c r="C95">
        <v>1.72E-3</v>
      </c>
      <c r="D95">
        <v>0.02</v>
      </c>
      <c r="E95">
        <v>0.216</v>
      </c>
      <c r="F95" s="37">
        <v>2</v>
      </c>
    </row>
    <row r="96" spans="1:6">
      <c r="A96">
        <v>64</v>
      </c>
      <c r="B96">
        <v>61</v>
      </c>
      <c r="C96">
        <v>0</v>
      </c>
      <c r="D96">
        <v>2.6800000000000001E-2</v>
      </c>
      <c r="E96">
        <v>0</v>
      </c>
      <c r="F96" s="37">
        <v>2</v>
      </c>
    </row>
    <row r="97" spans="1:6">
      <c r="A97">
        <v>38</v>
      </c>
      <c r="B97">
        <v>65</v>
      </c>
      <c r="C97">
        <v>9.0100000000000006E-3</v>
      </c>
      <c r="D97">
        <v>9.8599999999999993E-2</v>
      </c>
      <c r="E97">
        <v>1.046</v>
      </c>
      <c r="F97" s="37">
        <v>2</v>
      </c>
    </row>
    <row r="98" spans="1:6">
      <c r="A98">
        <v>64</v>
      </c>
      <c r="B98">
        <v>65</v>
      </c>
      <c r="C98">
        <v>2.6900000000000001E-3</v>
      </c>
      <c r="D98">
        <v>3.0200000000000001E-2</v>
      </c>
      <c r="E98">
        <v>0.38</v>
      </c>
      <c r="F98" s="37">
        <v>2</v>
      </c>
    </row>
    <row r="99" spans="1:6">
      <c r="A99">
        <v>49</v>
      </c>
      <c r="B99">
        <v>66</v>
      </c>
      <c r="C99">
        <v>1.7999999999999999E-2</v>
      </c>
      <c r="D99">
        <v>9.1899999999999996E-2</v>
      </c>
      <c r="E99">
        <v>2.4799999999999999E-2</v>
      </c>
      <c r="F99" s="37">
        <v>2</v>
      </c>
    </row>
    <row r="100" spans="1:6">
      <c r="A100">
        <v>49</v>
      </c>
      <c r="B100">
        <v>66</v>
      </c>
      <c r="C100">
        <v>1.7999999999999999E-2</v>
      </c>
      <c r="D100">
        <v>9.1899999999999996E-2</v>
      </c>
      <c r="E100">
        <v>2.4799999999999999E-2</v>
      </c>
      <c r="F100" s="37">
        <v>2</v>
      </c>
    </row>
    <row r="101" spans="1:6">
      <c r="A101">
        <v>62</v>
      </c>
      <c r="B101">
        <v>66</v>
      </c>
      <c r="C101">
        <v>4.82E-2</v>
      </c>
      <c r="D101">
        <v>0.218</v>
      </c>
      <c r="E101">
        <v>5.7799999999999997E-2</v>
      </c>
      <c r="F101" s="37">
        <v>2</v>
      </c>
    </row>
    <row r="102" spans="1:6">
      <c r="A102">
        <v>62</v>
      </c>
      <c r="B102">
        <v>67</v>
      </c>
      <c r="C102">
        <v>2.58E-2</v>
      </c>
      <c r="D102">
        <v>0.11700000000000001</v>
      </c>
      <c r="E102">
        <v>3.1E-2</v>
      </c>
      <c r="F102" s="37">
        <v>2</v>
      </c>
    </row>
    <row r="103" spans="1:6">
      <c r="A103">
        <v>65</v>
      </c>
      <c r="B103">
        <v>66</v>
      </c>
      <c r="C103">
        <v>0</v>
      </c>
      <c r="D103">
        <v>3.6999999999999998E-2</v>
      </c>
      <c r="E103">
        <v>0</v>
      </c>
      <c r="F103" s="37">
        <v>2</v>
      </c>
    </row>
    <row r="104" spans="1:6">
      <c r="A104">
        <v>66</v>
      </c>
      <c r="B104">
        <v>67</v>
      </c>
      <c r="C104">
        <v>2.24E-2</v>
      </c>
      <c r="D104">
        <v>0.10150000000000001</v>
      </c>
      <c r="E104">
        <v>2.682E-2</v>
      </c>
      <c r="F104" s="37">
        <v>2</v>
      </c>
    </row>
    <row r="105" spans="1:6">
      <c r="A105">
        <v>65</v>
      </c>
      <c r="B105">
        <v>68</v>
      </c>
      <c r="C105">
        <v>1.3799999999999999E-3</v>
      </c>
      <c r="D105">
        <v>1.6E-2</v>
      </c>
      <c r="E105">
        <v>0.63800000000000001</v>
      </c>
      <c r="F105" s="37">
        <v>2</v>
      </c>
    </row>
    <row r="106" spans="1:6">
      <c r="A106">
        <v>47</v>
      </c>
      <c r="B106">
        <v>69</v>
      </c>
      <c r="C106">
        <v>8.4400000000000003E-2</v>
      </c>
      <c r="D106">
        <v>0.27779999999999999</v>
      </c>
      <c r="E106">
        <v>7.0919999999999997E-2</v>
      </c>
      <c r="F106" s="37">
        <v>2</v>
      </c>
    </row>
    <row r="107" spans="1:6">
      <c r="A107">
        <v>49</v>
      </c>
      <c r="B107">
        <v>69</v>
      </c>
      <c r="C107">
        <v>9.8500000000000004E-2</v>
      </c>
      <c r="D107">
        <v>0.32400000000000001</v>
      </c>
      <c r="E107">
        <v>8.2799999999999999E-2</v>
      </c>
      <c r="F107" s="37">
        <v>2</v>
      </c>
    </row>
    <row r="108" spans="1:6">
      <c r="A108">
        <v>68</v>
      </c>
      <c r="B108">
        <v>69</v>
      </c>
      <c r="C108">
        <v>0</v>
      </c>
      <c r="D108">
        <v>3.6999999999999998E-2</v>
      </c>
      <c r="E108">
        <v>0</v>
      </c>
      <c r="F108" s="37">
        <v>2</v>
      </c>
    </row>
    <row r="109" spans="1:6">
      <c r="A109">
        <v>69</v>
      </c>
      <c r="B109">
        <v>70</v>
      </c>
      <c r="C109">
        <v>0.03</v>
      </c>
      <c r="D109">
        <v>0.127</v>
      </c>
      <c r="E109">
        <v>0.122</v>
      </c>
      <c r="F109" s="37">
        <v>2</v>
      </c>
    </row>
    <row r="110" spans="1:6">
      <c r="A110">
        <v>24</v>
      </c>
      <c r="B110">
        <v>70</v>
      </c>
      <c r="C110">
        <v>2.2100000000000002E-3</v>
      </c>
      <c r="D110">
        <v>0.41149999999999998</v>
      </c>
      <c r="E110">
        <v>0.10198</v>
      </c>
      <c r="F110" s="37">
        <v>2</v>
      </c>
    </row>
    <row r="111" spans="1:6">
      <c r="A111">
        <v>70</v>
      </c>
      <c r="B111">
        <v>71</v>
      </c>
      <c r="C111">
        <v>8.8199999999999997E-3</v>
      </c>
      <c r="D111">
        <v>3.5499999999999997E-2</v>
      </c>
      <c r="E111">
        <v>8.7799999999999996E-3</v>
      </c>
      <c r="F111" s="37">
        <v>2</v>
      </c>
    </row>
    <row r="112" spans="1:6">
      <c r="A112">
        <v>24</v>
      </c>
      <c r="B112">
        <v>72</v>
      </c>
      <c r="C112">
        <v>4.8800000000000003E-2</v>
      </c>
      <c r="D112">
        <v>0.19600000000000001</v>
      </c>
      <c r="E112">
        <v>4.8800000000000003E-2</v>
      </c>
      <c r="F112" s="37">
        <v>3</v>
      </c>
    </row>
    <row r="113" spans="1:6">
      <c r="A113">
        <v>71</v>
      </c>
      <c r="B113">
        <v>72</v>
      </c>
      <c r="C113">
        <v>4.4600000000000001E-2</v>
      </c>
      <c r="D113">
        <v>0.18</v>
      </c>
      <c r="E113">
        <v>4.444E-2</v>
      </c>
      <c r="F113" s="37">
        <v>3</v>
      </c>
    </row>
    <row r="114" spans="1:6">
      <c r="A114">
        <v>71</v>
      </c>
      <c r="B114">
        <v>73</v>
      </c>
      <c r="C114">
        <v>8.6599999999999993E-3</v>
      </c>
      <c r="D114">
        <v>4.5400000000000003E-2</v>
      </c>
      <c r="E114">
        <v>1.1780000000000001E-2</v>
      </c>
      <c r="F114" s="40">
        <v>2</v>
      </c>
    </row>
    <row r="115" spans="1:6">
      <c r="A115">
        <v>70</v>
      </c>
      <c r="B115">
        <v>74</v>
      </c>
      <c r="C115">
        <v>4.0099999999999997E-2</v>
      </c>
      <c r="D115">
        <v>0.1323</v>
      </c>
      <c r="E115">
        <v>3.3680000000000002E-2</v>
      </c>
      <c r="F115" s="40">
        <v>2</v>
      </c>
    </row>
    <row r="116" spans="1:6">
      <c r="A116">
        <v>70</v>
      </c>
      <c r="B116">
        <v>75</v>
      </c>
      <c r="C116">
        <v>4.2799999999999998E-2</v>
      </c>
      <c r="D116">
        <v>0.14099999999999999</v>
      </c>
      <c r="E116">
        <v>3.5999999999999997E-2</v>
      </c>
      <c r="F116" s="40">
        <v>2</v>
      </c>
    </row>
    <row r="117" spans="1:6">
      <c r="A117">
        <v>69</v>
      </c>
      <c r="B117">
        <v>75</v>
      </c>
      <c r="C117">
        <v>4.0500000000000001E-2</v>
      </c>
      <c r="D117">
        <v>0.122</v>
      </c>
      <c r="E117">
        <v>0.124</v>
      </c>
      <c r="F117" s="40">
        <v>2</v>
      </c>
    </row>
    <row r="118" spans="1:6">
      <c r="A118">
        <v>74</v>
      </c>
      <c r="B118">
        <v>75</v>
      </c>
      <c r="C118">
        <v>1.23E-2</v>
      </c>
      <c r="D118">
        <v>4.0599999999999997E-2</v>
      </c>
      <c r="E118">
        <v>1.034E-2</v>
      </c>
      <c r="F118" s="40">
        <v>2</v>
      </c>
    </row>
    <row r="119" spans="1:6">
      <c r="A119">
        <v>76</v>
      </c>
      <c r="B119">
        <v>77</v>
      </c>
      <c r="C119">
        <v>4.4400000000000002E-2</v>
      </c>
      <c r="D119">
        <v>0.14799999999999999</v>
      </c>
      <c r="E119">
        <v>3.6799999999999999E-2</v>
      </c>
      <c r="F119" s="40">
        <v>2</v>
      </c>
    </row>
    <row r="120" spans="1:6">
      <c r="A120">
        <v>69</v>
      </c>
      <c r="B120">
        <v>77</v>
      </c>
      <c r="C120">
        <v>3.09E-2</v>
      </c>
      <c r="D120">
        <v>0.10100000000000001</v>
      </c>
      <c r="E120">
        <v>0.1038</v>
      </c>
      <c r="F120" s="40">
        <v>2</v>
      </c>
    </row>
    <row r="121" spans="1:6">
      <c r="A121">
        <v>75</v>
      </c>
      <c r="B121">
        <v>77</v>
      </c>
      <c r="C121">
        <v>6.0100000000000001E-2</v>
      </c>
      <c r="D121">
        <v>0.19989999999999999</v>
      </c>
      <c r="E121">
        <v>4.9779999999999998E-2</v>
      </c>
      <c r="F121" s="40">
        <v>2</v>
      </c>
    </row>
    <row r="122" spans="1:6">
      <c r="A122">
        <v>77</v>
      </c>
      <c r="B122">
        <v>78</v>
      </c>
      <c r="C122">
        <v>3.7599999999999999E-3</v>
      </c>
      <c r="D122">
        <v>1.24E-2</v>
      </c>
      <c r="E122">
        <v>1.264E-2</v>
      </c>
      <c r="F122" s="40">
        <v>2</v>
      </c>
    </row>
    <row r="123" spans="1:6">
      <c r="A123">
        <v>78</v>
      </c>
      <c r="B123">
        <v>79</v>
      </c>
      <c r="C123">
        <v>5.4599999999999996E-3</v>
      </c>
      <c r="D123">
        <v>2.4400000000000002E-2</v>
      </c>
      <c r="E123">
        <v>6.4799999999999996E-3</v>
      </c>
      <c r="F123" s="40">
        <v>2</v>
      </c>
    </row>
    <row r="124" spans="1:6">
      <c r="A124">
        <v>77</v>
      </c>
      <c r="B124">
        <v>80</v>
      </c>
      <c r="C124">
        <v>1.7000000000000001E-2</v>
      </c>
      <c r="D124">
        <v>4.8500000000000001E-2</v>
      </c>
      <c r="E124">
        <v>4.7199999999999999E-2</v>
      </c>
      <c r="F124" s="40">
        <v>2</v>
      </c>
    </row>
    <row r="125" spans="1:6">
      <c r="A125">
        <v>77</v>
      </c>
      <c r="B125">
        <v>80</v>
      </c>
      <c r="C125">
        <v>2.9399999999999999E-2</v>
      </c>
      <c r="D125">
        <v>0.105</v>
      </c>
      <c r="E125">
        <v>2.2800000000000001E-2</v>
      </c>
      <c r="F125" s="40">
        <v>2</v>
      </c>
    </row>
    <row r="126" spans="1:6">
      <c r="A126">
        <v>79</v>
      </c>
      <c r="B126">
        <v>80</v>
      </c>
      <c r="C126">
        <v>1.5599999999999999E-2</v>
      </c>
      <c r="D126">
        <v>7.0400000000000004E-2</v>
      </c>
      <c r="E126">
        <v>1.8700000000000001E-2</v>
      </c>
      <c r="F126" s="40">
        <v>2</v>
      </c>
    </row>
    <row r="127" spans="1:6">
      <c r="A127">
        <v>68</v>
      </c>
      <c r="B127">
        <v>81</v>
      </c>
      <c r="C127">
        <v>1.75E-3</v>
      </c>
      <c r="D127">
        <v>2.0199999999999999E-2</v>
      </c>
      <c r="E127">
        <v>0.80800000000000005</v>
      </c>
      <c r="F127" s="40">
        <v>2</v>
      </c>
    </row>
    <row r="128" spans="1:6">
      <c r="A128">
        <v>81</v>
      </c>
      <c r="B128">
        <v>80</v>
      </c>
      <c r="C128">
        <v>0</v>
      </c>
      <c r="D128">
        <v>3.6999999999999998E-2</v>
      </c>
      <c r="E128">
        <v>0</v>
      </c>
      <c r="F128" s="40">
        <v>2</v>
      </c>
    </row>
    <row r="129" spans="1:6">
      <c r="A129">
        <v>77</v>
      </c>
      <c r="B129">
        <v>82</v>
      </c>
      <c r="C129">
        <v>2.98E-2</v>
      </c>
      <c r="D129">
        <v>8.5300000000000001E-2</v>
      </c>
      <c r="E129">
        <v>8.1739999999999993E-2</v>
      </c>
      <c r="F129" s="40">
        <v>2</v>
      </c>
    </row>
    <row r="130" spans="1:6">
      <c r="A130">
        <v>82</v>
      </c>
      <c r="B130">
        <v>83</v>
      </c>
      <c r="C130">
        <v>1.12E-2</v>
      </c>
      <c r="D130">
        <v>3.6650000000000002E-2</v>
      </c>
      <c r="E130">
        <v>3.7960000000000001E-2</v>
      </c>
      <c r="F130" s="40">
        <v>2</v>
      </c>
    </row>
    <row r="131" spans="1:6">
      <c r="A131">
        <v>83</v>
      </c>
      <c r="B131">
        <v>84</v>
      </c>
      <c r="C131">
        <v>6.25E-2</v>
      </c>
      <c r="D131">
        <v>0.13200000000000001</v>
      </c>
      <c r="E131">
        <v>2.58E-2</v>
      </c>
      <c r="F131" s="40">
        <v>2</v>
      </c>
    </row>
    <row r="132" spans="1:6">
      <c r="A132">
        <v>83</v>
      </c>
      <c r="B132">
        <v>85</v>
      </c>
      <c r="C132">
        <v>4.2999999999999997E-2</v>
      </c>
      <c r="D132">
        <v>0.14799999999999999</v>
      </c>
      <c r="E132">
        <v>3.4799999999999998E-2</v>
      </c>
      <c r="F132" s="40">
        <v>2</v>
      </c>
    </row>
    <row r="133" spans="1:6">
      <c r="A133">
        <v>84</v>
      </c>
      <c r="B133">
        <v>85</v>
      </c>
      <c r="C133">
        <v>3.0200000000000001E-2</v>
      </c>
      <c r="D133">
        <v>6.4100000000000004E-2</v>
      </c>
      <c r="E133">
        <v>1.234E-2</v>
      </c>
      <c r="F133" s="40">
        <v>2</v>
      </c>
    </row>
    <row r="134" spans="1:6">
      <c r="A134">
        <v>85</v>
      </c>
      <c r="B134">
        <v>86</v>
      </c>
      <c r="C134">
        <v>3.5000000000000003E-2</v>
      </c>
      <c r="D134">
        <v>0.123</v>
      </c>
      <c r="E134">
        <v>2.76E-2</v>
      </c>
      <c r="F134" s="40">
        <v>2</v>
      </c>
    </row>
    <row r="135" spans="1:6">
      <c r="A135">
        <v>86</v>
      </c>
      <c r="B135">
        <v>87</v>
      </c>
      <c r="C135">
        <v>2.828E-2</v>
      </c>
      <c r="D135">
        <v>0.2074</v>
      </c>
      <c r="E135">
        <v>4.4499999999999998E-2</v>
      </c>
      <c r="F135" s="40">
        <v>2</v>
      </c>
    </row>
    <row r="136" spans="1:6">
      <c r="A136">
        <v>85</v>
      </c>
      <c r="B136">
        <v>88</v>
      </c>
      <c r="C136">
        <v>0.02</v>
      </c>
      <c r="D136">
        <v>0.10199999999999999</v>
      </c>
      <c r="E136">
        <v>2.76E-2</v>
      </c>
      <c r="F136" s="40">
        <v>2</v>
      </c>
    </row>
    <row r="137" spans="1:6">
      <c r="A137">
        <v>85</v>
      </c>
      <c r="B137">
        <v>89</v>
      </c>
      <c r="C137">
        <v>2.3900000000000001E-2</v>
      </c>
      <c r="D137">
        <v>0.17299999999999999</v>
      </c>
      <c r="E137">
        <v>4.7E-2</v>
      </c>
      <c r="F137" s="40">
        <v>2</v>
      </c>
    </row>
    <row r="138" spans="1:6">
      <c r="A138">
        <v>88</v>
      </c>
      <c r="B138">
        <v>89</v>
      </c>
      <c r="C138">
        <v>1.3899999999999999E-2</v>
      </c>
      <c r="D138">
        <v>7.1199999999999999E-2</v>
      </c>
      <c r="E138">
        <v>1.934E-2</v>
      </c>
      <c r="F138" s="40">
        <v>2</v>
      </c>
    </row>
    <row r="139" spans="1:6">
      <c r="A139">
        <v>89</v>
      </c>
      <c r="B139">
        <v>90</v>
      </c>
      <c r="C139">
        <v>5.1799999999999999E-2</v>
      </c>
      <c r="D139">
        <v>0.188</v>
      </c>
      <c r="E139">
        <v>5.28E-2</v>
      </c>
      <c r="F139" s="40">
        <v>2</v>
      </c>
    </row>
    <row r="140" spans="1:6">
      <c r="A140">
        <v>89</v>
      </c>
      <c r="B140">
        <v>90</v>
      </c>
      <c r="C140">
        <v>2.3800000000000002E-2</v>
      </c>
      <c r="D140">
        <v>9.9699999999999997E-2</v>
      </c>
      <c r="E140">
        <v>0.106</v>
      </c>
      <c r="F140" s="40">
        <v>2</v>
      </c>
    </row>
    <row r="141" spans="1:6">
      <c r="A141">
        <v>90</v>
      </c>
      <c r="B141">
        <v>91</v>
      </c>
      <c r="C141">
        <v>2.5399999999999999E-2</v>
      </c>
      <c r="D141">
        <v>8.3599999999999994E-2</v>
      </c>
      <c r="E141">
        <v>2.1399999999999999E-2</v>
      </c>
      <c r="F141" s="40">
        <v>2</v>
      </c>
    </row>
    <row r="142" spans="1:6">
      <c r="A142">
        <v>89</v>
      </c>
      <c r="B142">
        <v>92</v>
      </c>
      <c r="C142">
        <v>9.9000000000000008E-3</v>
      </c>
      <c r="D142">
        <v>5.0500000000000003E-2</v>
      </c>
      <c r="E142">
        <v>5.4800000000000001E-2</v>
      </c>
      <c r="F142" s="40">
        <v>2</v>
      </c>
    </row>
    <row r="143" spans="1:6">
      <c r="A143">
        <v>89</v>
      </c>
      <c r="B143">
        <v>92</v>
      </c>
      <c r="C143">
        <v>3.9300000000000002E-2</v>
      </c>
      <c r="D143">
        <v>0.15809999999999999</v>
      </c>
      <c r="E143">
        <v>4.1399999999999999E-2</v>
      </c>
      <c r="F143" s="40">
        <v>2</v>
      </c>
    </row>
    <row r="144" spans="1:6">
      <c r="A144">
        <v>91</v>
      </c>
      <c r="B144">
        <v>92</v>
      </c>
      <c r="C144">
        <v>3.8699999999999998E-2</v>
      </c>
      <c r="D144">
        <v>0.12720000000000001</v>
      </c>
      <c r="E144">
        <v>3.2680000000000001E-2</v>
      </c>
      <c r="F144" s="40">
        <v>2</v>
      </c>
    </row>
    <row r="145" spans="1:6">
      <c r="A145">
        <v>92</v>
      </c>
      <c r="B145">
        <v>93</v>
      </c>
      <c r="C145">
        <v>2.58E-2</v>
      </c>
      <c r="D145">
        <v>8.48E-2</v>
      </c>
      <c r="E145">
        <v>2.18E-2</v>
      </c>
      <c r="F145" s="40">
        <v>2</v>
      </c>
    </row>
    <row r="146" spans="1:6">
      <c r="A146">
        <v>92</v>
      </c>
      <c r="B146">
        <v>94</v>
      </c>
      <c r="C146">
        <v>4.8099999999999997E-2</v>
      </c>
      <c r="D146">
        <v>0.158</v>
      </c>
      <c r="E146">
        <v>4.0599999999999997E-2</v>
      </c>
      <c r="F146" s="40">
        <v>2</v>
      </c>
    </row>
    <row r="147" spans="1:6">
      <c r="A147">
        <v>93</v>
      </c>
      <c r="B147">
        <v>94</v>
      </c>
      <c r="C147">
        <v>2.23E-2</v>
      </c>
      <c r="D147">
        <v>7.3200000000000001E-2</v>
      </c>
      <c r="E147">
        <v>1.8759999999999999E-2</v>
      </c>
      <c r="F147" s="40">
        <v>2</v>
      </c>
    </row>
    <row r="148" spans="1:6">
      <c r="A148">
        <v>94</v>
      </c>
      <c r="B148">
        <v>95</v>
      </c>
      <c r="C148">
        <v>1.32E-2</v>
      </c>
      <c r="D148">
        <v>4.3400000000000001E-2</v>
      </c>
      <c r="E148">
        <v>1.11E-2</v>
      </c>
      <c r="F148" s="40">
        <v>2</v>
      </c>
    </row>
    <row r="149" spans="1:6">
      <c r="A149">
        <v>80</v>
      </c>
      <c r="B149">
        <v>96</v>
      </c>
      <c r="C149">
        <v>3.56E-2</v>
      </c>
      <c r="D149">
        <v>0.182</v>
      </c>
      <c r="E149">
        <v>4.9399999999999999E-2</v>
      </c>
      <c r="F149" s="40">
        <v>2</v>
      </c>
    </row>
    <row r="150" spans="1:6">
      <c r="A150">
        <v>82</v>
      </c>
      <c r="B150">
        <v>96</v>
      </c>
      <c r="C150">
        <v>1.6199999999999999E-2</v>
      </c>
      <c r="D150">
        <v>5.2999999999999999E-2</v>
      </c>
      <c r="E150">
        <v>5.4399999999999997E-2</v>
      </c>
      <c r="F150" s="40">
        <v>2</v>
      </c>
    </row>
    <row r="151" spans="1:6">
      <c r="A151">
        <v>94</v>
      </c>
      <c r="B151">
        <v>96</v>
      </c>
      <c r="C151">
        <v>2.69E-2</v>
      </c>
      <c r="D151">
        <v>8.6900000000000005E-2</v>
      </c>
      <c r="E151">
        <v>2.3E-2</v>
      </c>
      <c r="F151" s="40">
        <v>2</v>
      </c>
    </row>
    <row r="152" spans="1:6">
      <c r="A152">
        <v>80</v>
      </c>
      <c r="B152">
        <v>97</v>
      </c>
      <c r="C152">
        <v>1.83E-2</v>
      </c>
      <c r="D152">
        <v>9.3399999999999997E-2</v>
      </c>
      <c r="E152">
        <v>2.5399999999999999E-2</v>
      </c>
      <c r="F152" s="40">
        <v>2</v>
      </c>
    </row>
    <row r="153" spans="1:6">
      <c r="A153">
        <v>80</v>
      </c>
      <c r="B153">
        <v>98</v>
      </c>
      <c r="C153">
        <v>2.3800000000000002E-2</v>
      </c>
      <c r="D153">
        <v>0.108</v>
      </c>
      <c r="E153">
        <v>2.86E-2</v>
      </c>
      <c r="F153" s="40">
        <v>2</v>
      </c>
    </row>
    <row r="154" spans="1:6">
      <c r="A154">
        <v>80</v>
      </c>
      <c r="B154">
        <v>99</v>
      </c>
      <c r="C154">
        <v>4.5400000000000003E-2</v>
      </c>
      <c r="D154">
        <v>0.20599999999999999</v>
      </c>
      <c r="E154">
        <v>5.4600000000000003E-2</v>
      </c>
      <c r="F154" s="40">
        <v>2</v>
      </c>
    </row>
    <row r="155" spans="1:6">
      <c r="A155">
        <v>92</v>
      </c>
      <c r="B155">
        <v>100</v>
      </c>
      <c r="C155">
        <v>6.4799999999999996E-2</v>
      </c>
      <c r="D155">
        <v>0.29499999999999998</v>
      </c>
      <c r="E155">
        <v>4.7199999999999999E-2</v>
      </c>
      <c r="F155" s="40">
        <v>2</v>
      </c>
    </row>
    <row r="156" spans="1:6">
      <c r="A156">
        <v>94</v>
      </c>
      <c r="B156">
        <v>100</v>
      </c>
      <c r="C156">
        <v>1.78E-2</v>
      </c>
      <c r="D156">
        <v>5.8000000000000003E-2</v>
      </c>
      <c r="E156">
        <v>6.0400000000000002E-2</v>
      </c>
      <c r="F156" s="40">
        <v>2</v>
      </c>
    </row>
    <row r="157" spans="1:6">
      <c r="A157">
        <v>95</v>
      </c>
      <c r="B157">
        <v>96</v>
      </c>
      <c r="C157">
        <v>1.7100000000000001E-2</v>
      </c>
      <c r="D157">
        <v>5.4699999999999999E-2</v>
      </c>
      <c r="E157">
        <v>1.474E-2</v>
      </c>
      <c r="F157" s="40">
        <v>2</v>
      </c>
    </row>
    <row r="158" spans="1:6">
      <c r="A158">
        <v>96</v>
      </c>
      <c r="B158">
        <v>97</v>
      </c>
      <c r="C158">
        <v>1.7299999999999999E-2</v>
      </c>
      <c r="D158">
        <v>8.8499999999999995E-2</v>
      </c>
      <c r="E158">
        <v>2.4E-2</v>
      </c>
      <c r="F158" s="40">
        <v>2</v>
      </c>
    </row>
    <row r="159" spans="1:6">
      <c r="A159">
        <v>98</v>
      </c>
      <c r="B159">
        <v>100</v>
      </c>
      <c r="C159">
        <v>3.9699999999999999E-2</v>
      </c>
      <c r="D159">
        <v>0.17899999999999999</v>
      </c>
      <c r="E159">
        <v>4.7600000000000003E-2</v>
      </c>
      <c r="F159" s="40">
        <v>2</v>
      </c>
    </row>
    <row r="160" spans="1:6">
      <c r="A160">
        <v>99</v>
      </c>
      <c r="B160">
        <v>100</v>
      </c>
      <c r="C160">
        <v>1.7999999999999999E-2</v>
      </c>
      <c r="D160">
        <v>8.1299999999999997E-2</v>
      </c>
      <c r="E160">
        <v>2.1600000000000001E-2</v>
      </c>
      <c r="F160" s="40">
        <v>2</v>
      </c>
    </row>
    <row r="161" spans="1:6">
      <c r="A161">
        <v>100</v>
      </c>
      <c r="B161">
        <v>101</v>
      </c>
      <c r="C161">
        <v>2.7699999999999999E-2</v>
      </c>
      <c r="D161">
        <v>0.12620000000000001</v>
      </c>
      <c r="E161">
        <v>3.2800000000000003E-2</v>
      </c>
      <c r="F161" s="40">
        <v>2</v>
      </c>
    </row>
    <row r="162" spans="1:6">
      <c r="A162">
        <v>92</v>
      </c>
      <c r="B162">
        <v>102</v>
      </c>
      <c r="C162">
        <v>1.23E-2</v>
      </c>
      <c r="D162">
        <v>5.5899999999999998E-2</v>
      </c>
      <c r="E162">
        <v>1.464E-2</v>
      </c>
      <c r="F162" s="40">
        <v>2</v>
      </c>
    </row>
    <row r="163" spans="1:6">
      <c r="A163">
        <v>101</v>
      </c>
      <c r="B163">
        <v>102</v>
      </c>
      <c r="C163">
        <v>2.46E-2</v>
      </c>
      <c r="D163">
        <v>0.112</v>
      </c>
      <c r="E163">
        <v>2.9399999999999999E-2</v>
      </c>
      <c r="F163" s="40">
        <v>2</v>
      </c>
    </row>
    <row r="164" spans="1:6">
      <c r="A164">
        <v>100</v>
      </c>
      <c r="B164">
        <v>103</v>
      </c>
      <c r="C164">
        <v>1.6E-2</v>
      </c>
      <c r="D164">
        <v>5.2499999999999998E-2</v>
      </c>
      <c r="E164">
        <v>5.3600000000000002E-2</v>
      </c>
      <c r="F164" s="40">
        <v>2</v>
      </c>
    </row>
    <row r="165" spans="1:6">
      <c r="A165">
        <v>100</v>
      </c>
      <c r="B165">
        <v>104</v>
      </c>
      <c r="C165">
        <v>4.5100000000000001E-2</v>
      </c>
      <c r="D165">
        <v>0.20399999999999999</v>
      </c>
      <c r="E165">
        <v>5.4100000000000002E-2</v>
      </c>
      <c r="F165" s="40">
        <v>2</v>
      </c>
    </row>
    <row r="166" spans="1:6">
      <c r="A166">
        <v>103</v>
      </c>
      <c r="B166">
        <v>104</v>
      </c>
      <c r="C166">
        <v>4.6600000000000003E-2</v>
      </c>
      <c r="D166">
        <v>0.15840000000000001</v>
      </c>
      <c r="E166">
        <v>4.07E-2</v>
      </c>
      <c r="F166" s="40">
        <v>2</v>
      </c>
    </row>
    <row r="167" spans="1:6">
      <c r="A167">
        <v>103</v>
      </c>
      <c r="B167">
        <v>105</v>
      </c>
      <c r="C167">
        <v>5.3499999999999999E-2</v>
      </c>
      <c r="D167">
        <v>0.16250000000000001</v>
      </c>
      <c r="E167">
        <v>4.0800000000000003E-2</v>
      </c>
      <c r="F167" s="40">
        <v>2</v>
      </c>
    </row>
    <row r="168" spans="1:6">
      <c r="A168">
        <v>100</v>
      </c>
      <c r="B168">
        <v>106</v>
      </c>
      <c r="C168">
        <v>6.0499999999999998E-2</v>
      </c>
      <c r="D168">
        <v>0.22900000000000001</v>
      </c>
      <c r="E168">
        <v>6.2E-2</v>
      </c>
      <c r="F168" s="40">
        <v>2</v>
      </c>
    </row>
    <row r="169" spans="1:6">
      <c r="A169">
        <v>104</v>
      </c>
      <c r="B169">
        <v>105</v>
      </c>
      <c r="C169">
        <v>9.9399999999999992E-3</v>
      </c>
      <c r="D169">
        <v>3.78E-2</v>
      </c>
      <c r="E169">
        <v>9.8600000000000007E-3</v>
      </c>
      <c r="F169" s="40">
        <v>2</v>
      </c>
    </row>
    <row r="170" spans="1:6">
      <c r="A170">
        <v>105</v>
      </c>
      <c r="B170">
        <v>106</v>
      </c>
      <c r="C170">
        <v>1.4E-2</v>
      </c>
      <c r="D170">
        <v>5.4699999999999999E-2</v>
      </c>
      <c r="E170">
        <v>1.434E-2</v>
      </c>
      <c r="F170" s="40">
        <v>2</v>
      </c>
    </row>
    <row r="171" spans="1:6">
      <c r="A171">
        <v>105</v>
      </c>
      <c r="B171">
        <v>107</v>
      </c>
      <c r="C171">
        <v>5.2999999999999999E-2</v>
      </c>
      <c r="D171">
        <v>0.183</v>
      </c>
      <c r="E171">
        <v>4.7199999999999999E-2</v>
      </c>
      <c r="F171" s="40">
        <v>2</v>
      </c>
    </row>
    <row r="172" spans="1:6">
      <c r="A172">
        <v>105</v>
      </c>
      <c r="B172">
        <v>108</v>
      </c>
      <c r="C172">
        <v>2.6100000000000002E-2</v>
      </c>
      <c r="D172">
        <v>7.0300000000000001E-2</v>
      </c>
      <c r="E172">
        <v>1.8440000000000002E-2</v>
      </c>
      <c r="F172" s="40">
        <v>2</v>
      </c>
    </row>
    <row r="173" spans="1:6">
      <c r="A173">
        <v>106</v>
      </c>
      <c r="B173">
        <v>107</v>
      </c>
      <c r="C173">
        <v>5.2999999999999999E-2</v>
      </c>
      <c r="D173">
        <v>0.183</v>
      </c>
      <c r="E173">
        <v>4.7199999999999999E-2</v>
      </c>
      <c r="F173" s="40">
        <v>2</v>
      </c>
    </row>
    <row r="174" spans="1:6">
      <c r="A174">
        <v>108</v>
      </c>
      <c r="B174">
        <v>109</v>
      </c>
      <c r="C174">
        <v>1.0500000000000001E-2</v>
      </c>
      <c r="D174">
        <v>2.8799999999999999E-2</v>
      </c>
      <c r="E174">
        <v>7.6E-3</v>
      </c>
      <c r="F174" s="40">
        <v>2</v>
      </c>
    </row>
    <row r="175" spans="1:6">
      <c r="A175">
        <v>103</v>
      </c>
      <c r="B175">
        <v>110</v>
      </c>
      <c r="C175">
        <v>3.9059999999999997E-2</v>
      </c>
      <c r="D175">
        <v>0.18129999999999999</v>
      </c>
      <c r="E175">
        <v>4.6100000000000002E-2</v>
      </c>
      <c r="F175" s="40">
        <v>2</v>
      </c>
    </row>
    <row r="176" spans="1:6">
      <c r="A176">
        <v>109</v>
      </c>
      <c r="B176">
        <v>110</v>
      </c>
      <c r="C176">
        <v>2.7799999999999998E-2</v>
      </c>
      <c r="D176">
        <v>7.6200000000000004E-2</v>
      </c>
      <c r="E176">
        <v>2.0199999999999999E-2</v>
      </c>
      <c r="F176" s="40">
        <v>2</v>
      </c>
    </row>
    <row r="177" spans="1:6">
      <c r="A177">
        <v>110</v>
      </c>
      <c r="B177">
        <v>111</v>
      </c>
      <c r="C177">
        <v>2.1999999999999999E-2</v>
      </c>
      <c r="D177">
        <v>7.5499999999999998E-2</v>
      </c>
      <c r="E177">
        <v>0.02</v>
      </c>
      <c r="F177" s="40">
        <v>2</v>
      </c>
    </row>
    <row r="178" spans="1:6">
      <c r="A178">
        <v>110</v>
      </c>
      <c r="B178">
        <v>112</v>
      </c>
      <c r="C178">
        <v>2.47E-2</v>
      </c>
      <c r="D178">
        <v>6.4000000000000001E-2</v>
      </c>
      <c r="E178">
        <v>6.2E-2</v>
      </c>
      <c r="F178" s="40">
        <v>2</v>
      </c>
    </row>
    <row r="179" spans="1:6">
      <c r="A179">
        <v>17</v>
      </c>
      <c r="B179">
        <v>113</v>
      </c>
      <c r="C179">
        <v>9.1299999999999992E-3</v>
      </c>
      <c r="D179">
        <v>3.0099999999999998E-2</v>
      </c>
      <c r="E179">
        <v>7.6800000000000002E-3</v>
      </c>
      <c r="F179" s="40">
        <v>1</v>
      </c>
    </row>
    <row r="180" spans="1:6">
      <c r="A180">
        <v>32</v>
      </c>
      <c r="B180">
        <v>113</v>
      </c>
      <c r="C180">
        <v>6.1499999999999999E-2</v>
      </c>
      <c r="D180">
        <v>0.20300000000000001</v>
      </c>
      <c r="E180">
        <v>5.1799999999999999E-2</v>
      </c>
      <c r="F180" s="40">
        <v>1</v>
      </c>
    </row>
    <row r="181" spans="1:6">
      <c r="A181">
        <v>32</v>
      </c>
      <c r="B181">
        <v>114</v>
      </c>
      <c r="C181">
        <v>1.35E-2</v>
      </c>
      <c r="D181">
        <v>6.1199999999999997E-2</v>
      </c>
      <c r="E181">
        <v>1.6279999999999999E-2</v>
      </c>
      <c r="F181" s="40">
        <v>1</v>
      </c>
    </row>
    <row r="182" spans="1:6">
      <c r="A182">
        <v>27</v>
      </c>
      <c r="B182">
        <v>115</v>
      </c>
      <c r="C182">
        <v>1.6400000000000001E-2</v>
      </c>
      <c r="D182">
        <v>7.4099999999999999E-2</v>
      </c>
      <c r="E182">
        <v>1.9720000000000001E-2</v>
      </c>
      <c r="F182" s="40">
        <v>1</v>
      </c>
    </row>
    <row r="183" spans="1:6">
      <c r="A183">
        <v>114</v>
      </c>
      <c r="B183">
        <v>115</v>
      </c>
      <c r="C183">
        <v>2.3E-3</v>
      </c>
      <c r="D183">
        <v>1.04E-2</v>
      </c>
      <c r="E183">
        <v>2.7599999999999999E-3</v>
      </c>
      <c r="F183" s="40">
        <v>1</v>
      </c>
    </row>
    <row r="184" spans="1:6">
      <c r="A184">
        <v>68</v>
      </c>
      <c r="B184">
        <v>116</v>
      </c>
      <c r="C184">
        <v>3.4000000000000002E-4</v>
      </c>
      <c r="D184">
        <v>4.0499999999999998E-3</v>
      </c>
      <c r="E184">
        <v>0.16400000000000001</v>
      </c>
      <c r="F184" s="40">
        <v>2</v>
      </c>
    </row>
    <row r="185" spans="1:6">
      <c r="A185">
        <v>12</v>
      </c>
      <c r="B185">
        <v>117</v>
      </c>
      <c r="C185">
        <v>3.2899999999999999E-2</v>
      </c>
      <c r="D185">
        <v>0.14000000000000001</v>
      </c>
      <c r="E185">
        <v>3.5799999999999998E-2</v>
      </c>
      <c r="F185" s="40">
        <v>1</v>
      </c>
    </row>
    <row r="186" spans="1:6">
      <c r="A186">
        <v>75</v>
      </c>
      <c r="B186">
        <v>118</v>
      </c>
      <c r="C186">
        <v>1.4500000000000001E-2</v>
      </c>
      <c r="D186">
        <v>4.8099999999999997E-2</v>
      </c>
      <c r="E186">
        <v>1.1979999999999999E-2</v>
      </c>
      <c r="F186" s="40">
        <v>2</v>
      </c>
    </row>
    <row r="187" spans="1:6">
      <c r="A187">
        <v>76</v>
      </c>
      <c r="B187">
        <v>118</v>
      </c>
      <c r="C187">
        <v>1.6400000000000001E-2</v>
      </c>
      <c r="D187">
        <v>5.4399999999999997E-2</v>
      </c>
      <c r="E187">
        <v>1.3559999999999999E-2</v>
      </c>
      <c r="F187" s="40">
        <v>2</v>
      </c>
    </row>
    <row r="188" spans="1:6">
      <c r="A188">
        <v>1</v>
      </c>
      <c r="B188">
        <v>119</v>
      </c>
      <c r="C188">
        <v>0</v>
      </c>
      <c r="D188">
        <v>0.01</v>
      </c>
      <c r="E188">
        <v>0</v>
      </c>
      <c r="F188">
        <v>1</v>
      </c>
    </row>
    <row r="189" spans="1:6">
      <c r="A189">
        <v>4</v>
      </c>
      <c r="B189">
        <v>120</v>
      </c>
      <c r="C189">
        <v>0</v>
      </c>
      <c r="D189">
        <v>0.01</v>
      </c>
      <c r="E189">
        <v>0</v>
      </c>
      <c r="F189">
        <v>1</v>
      </c>
    </row>
    <row r="190" spans="1:6">
      <c r="A190">
        <v>6</v>
      </c>
      <c r="B190">
        <v>121</v>
      </c>
      <c r="C190">
        <v>0</v>
      </c>
      <c r="D190">
        <v>0.01</v>
      </c>
      <c r="E190">
        <v>0</v>
      </c>
      <c r="F190">
        <v>1</v>
      </c>
    </row>
    <row r="191" spans="1:6">
      <c r="A191">
        <v>8</v>
      </c>
      <c r="B191">
        <v>122</v>
      </c>
      <c r="C191">
        <v>0</v>
      </c>
      <c r="D191">
        <v>0.01</v>
      </c>
      <c r="E191">
        <v>0</v>
      </c>
      <c r="F191">
        <v>1</v>
      </c>
    </row>
    <row r="192" spans="1:6">
      <c r="A192">
        <v>10</v>
      </c>
      <c r="B192">
        <v>123</v>
      </c>
      <c r="C192">
        <v>0</v>
      </c>
      <c r="D192">
        <v>0.01</v>
      </c>
      <c r="E192">
        <v>0</v>
      </c>
      <c r="F192">
        <v>1</v>
      </c>
    </row>
    <row r="193" spans="1:6">
      <c r="A193">
        <v>12</v>
      </c>
      <c r="B193">
        <v>124</v>
      </c>
      <c r="C193">
        <v>0</v>
      </c>
      <c r="D193">
        <v>0.01</v>
      </c>
      <c r="E193">
        <v>0</v>
      </c>
      <c r="F193">
        <v>1</v>
      </c>
    </row>
    <row r="194" spans="1:6">
      <c r="A194">
        <v>15</v>
      </c>
      <c r="B194">
        <v>125</v>
      </c>
      <c r="C194">
        <v>0</v>
      </c>
      <c r="D194">
        <v>0.01</v>
      </c>
      <c r="E194">
        <v>0</v>
      </c>
      <c r="F194">
        <v>1</v>
      </c>
    </row>
    <row r="195" spans="1:6">
      <c r="A195">
        <v>18</v>
      </c>
      <c r="B195">
        <v>126</v>
      </c>
      <c r="C195">
        <v>0</v>
      </c>
      <c r="D195">
        <v>0.01</v>
      </c>
      <c r="E195">
        <v>0</v>
      </c>
      <c r="F195">
        <v>1</v>
      </c>
    </row>
    <row r="196" spans="1:6">
      <c r="A196">
        <v>19</v>
      </c>
      <c r="B196">
        <v>127</v>
      </c>
      <c r="C196">
        <v>0</v>
      </c>
      <c r="D196">
        <v>0.01</v>
      </c>
      <c r="E196">
        <v>0</v>
      </c>
      <c r="F196">
        <v>1</v>
      </c>
    </row>
    <row r="197" spans="1:6">
      <c r="A197">
        <v>24</v>
      </c>
      <c r="B197">
        <v>128</v>
      </c>
      <c r="C197">
        <v>0</v>
      </c>
      <c r="D197">
        <v>0.01</v>
      </c>
      <c r="E197">
        <v>0</v>
      </c>
      <c r="F197">
        <v>3</v>
      </c>
    </row>
    <row r="198" spans="1:6">
      <c r="A198">
        <v>25</v>
      </c>
      <c r="B198">
        <v>129</v>
      </c>
      <c r="C198">
        <v>0</v>
      </c>
      <c r="D198">
        <v>0.01</v>
      </c>
      <c r="E198">
        <v>0</v>
      </c>
      <c r="F198">
        <v>1</v>
      </c>
    </row>
    <row r="199" spans="1:6">
      <c r="A199">
        <v>26</v>
      </c>
      <c r="B199">
        <v>130</v>
      </c>
      <c r="C199">
        <v>0</v>
      </c>
      <c r="D199">
        <v>0.01</v>
      </c>
      <c r="E199">
        <v>0</v>
      </c>
      <c r="F199">
        <v>1</v>
      </c>
    </row>
    <row r="200" spans="1:6">
      <c r="A200">
        <v>27</v>
      </c>
      <c r="B200">
        <v>131</v>
      </c>
      <c r="C200">
        <v>0</v>
      </c>
      <c r="D200">
        <v>0.01</v>
      </c>
      <c r="E200">
        <v>0</v>
      </c>
      <c r="F200">
        <v>1</v>
      </c>
    </row>
    <row r="201" spans="1:6">
      <c r="A201">
        <v>31</v>
      </c>
      <c r="B201">
        <v>132</v>
      </c>
      <c r="C201">
        <v>0</v>
      </c>
      <c r="D201">
        <v>0.01</v>
      </c>
      <c r="E201">
        <v>0</v>
      </c>
      <c r="F201">
        <v>1</v>
      </c>
    </row>
    <row r="202" spans="1:6">
      <c r="A202">
        <v>32</v>
      </c>
      <c r="B202">
        <v>133</v>
      </c>
      <c r="C202">
        <v>0</v>
      </c>
      <c r="D202">
        <v>0.01</v>
      </c>
      <c r="E202">
        <v>0</v>
      </c>
      <c r="F202">
        <v>1</v>
      </c>
    </row>
    <row r="203" spans="1:6">
      <c r="A203">
        <v>34</v>
      </c>
      <c r="B203">
        <v>134</v>
      </c>
      <c r="C203">
        <v>0</v>
      </c>
      <c r="D203">
        <v>0.01</v>
      </c>
      <c r="E203">
        <v>0</v>
      </c>
      <c r="F203">
        <v>2</v>
      </c>
    </row>
    <row r="204" spans="1:6">
      <c r="A204">
        <v>36</v>
      </c>
      <c r="B204">
        <v>135</v>
      </c>
      <c r="C204">
        <v>0</v>
      </c>
      <c r="D204">
        <v>0.01</v>
      </c>
      <c r="E204">
        <v>0</v>
      </c>
      <c r="F204">
        <v>2</v>
      </c>
    </row>
    <row r="205" spans="1:6">
      <c r="A205">
        <v>40</v>
      </c>
      <c r="B205">
        <v>136</v>
      </c>
      <c r="C205">
        <v>0</v>
      </c>
      <c r="D205">
        <v>0.01</v>
      </c>
      <c r="E205">
        <v>0</v>
      </c>
      <c r="F205">
        <v>2</v>
      </c>
    </row>
    <row r="206" spans="1:6">
      <c r="A206">
        <v>42</v>
      </c>
      <c r="B206">
        <v>137</v>
      </c>
      <c r="C206">
        <v>0</v>
      </c>
      <c r="D206">
        <v>0.01</v>
      </c>
      <c r="E206">
        <v>0</v>
      </c>
      <c r="F206">
        <v>2</v>
      </c>
    </row>
    <row r="207" spans="1:6">
      <c r="A207">
        <v>46</v>
      </c>
      <c r="B207">
        <v>138</v>
      </c>
      <c r="C207">
        <v>0</v>
      </c>
      <c r="D207">
        <v>0.01</v>
      </c>
      <c r="E207">
        <v>0</v>
      </c>
      <c r="F207">
        <v>2</v>
      </c>
    </row>
    <row r="208" spans="1:6">
      <c r="A208">
        <v>49</v>
      </c>
      <c r="B208">
        <v>139</v>
      </c>
      <c r="C208">
        <v>0</v>
      </c>
      <c r="D208">
        <v>0.01</v>
      </c>
      <c r="E208">
        <v>0</v>
      </c>
      <c r="F208">
        <v>2</v>
      </c>
    </row>
    <row r="209" spans="1:6">
      <c r="A209">
        <v>54</v>
      </c>
      <c r="B209">
        <v>140</v>
      </c>
      <c r="C209">
        <v>0</v>
      </c>
      <c r="D209">
        <v>0.01</v>
      </c>
      <c r="E209">
        <v>0</v>
      </c>
      <c r="F209">
        <v>2</v>
      </c>
    </row>
    <row r="210" spans="1:6">
      <c r="A210">
        <v>55</v>
      </c>
      <c r="B210">
        <v>141</v>
      </c>
      <c r="C210">
        <v>0</v>
      </c>
      <c r="D210">
        <v>0.01</v>
      </c>
      <c r="E210">
        <v>0</v>
      </c>
      <c r="F210">
        <v>2</v>
      </c>
    </row>
    <row r="211" spans="1:6">
      <c r="A211">
        <v>56</v>
      </c>
      <c r="B211">
        <v>142</v>
      </c>
      <c r="C211">
        <v>0</v>
      </c>
      <c r="D211">
        <v>0.01</v>
      </c>
      <c r="E211">
        <v>0</v>
      </c>
      <c r="F211">
        <v>2</v>
      </c>
    </row>
    <row r="212" spans="1:6">
      <c r="A212">
        <v>59</v>
      </c>
      <c r="B212">
        <v>143</v>
      </c>
      <c r="C212">
        <v>0</v>
      </c>
      <c r="D212">
        <v>0.01</v>
      </c>
      <c r="E212">
        <v>0</v>
      </c>
      <c r="F212">
        <v>2</v>
      </c>
    </row>
    <row r="213" spans="1:6">
      <c r="A213">
        <v>61</v>
      </c>
      <c r="B213">
        <v>144</v>
      </c>
      <c r="C213">
        <v>0</v>
      </c>
      <c r="D213">
        <v>0.01</v>
      </c>
      <c r="E213">
        <v>0</v>
      </c>
      <c r="F213">
        <v>2</v>
      </c>
    </row>
    <row r="214" spans="1:6">
      <c r="A214">
        <v>62</v>
      </c>
      <c r="B214">
        <v>145</v>
      </c>
      <c r="C214">
        <v>0</v>
      </c>
      <c r="D214">
        <v>0.01</v>
      </c>
      <c r="E214">
        <v>0</v>
      </c>
      <c r="F214">
        <v>2</v>
      </c>
    </row>
    <row r="215" spans="1:6">
      <c r="A215">
        <v>65</v>
      </c>
      <c r="B215">
        <v>146</v>
      </c>
      <c r="C215">
        <v>0</v>
      </c>
      <c r="D215">
        <v>0.01</v>
      </c>
      <c r="E215">
        <v>0</v>
      </c>
      <c r="F215">
        <v>2</v>
      </c>
    </row>
    <row r="216" spans="1:6">
      <c r="A216">
        <v>66</v>
      </c>
      <c r="B216">
        <v>147</v>
      </c>
      <c r="C216">
        <v>0</v>
      </c>
      <c r="D216">
        <v>0.01</v>
      </c>
      <c r="E216">
        <v>0</v>
      </c>
      <c r="F216">
        <v>2</v>
      </c>
    </row>
    <row r="217" spans="1:6">
      <c r="A217">
        <v>69</v>
      </c>
      <c r="B217">
        <v>148</v>
      </c>
      <c r="C217">
        <v>0</v>
      </c>
      <c r="D217">
        <v>0.05</v>
      </c>
      <c r="E217">
        <v>0</v>
      </c>
      <c r="F217">
        <v>2</v>
      </c>
    </row>
    <row r="218" spans="1:6">
      <c r="A218">
        <v>70</v>
      </c>
      <c r="B218">
        <v>149</v>
      </c>
      <c r="C218">
        <v>0</v>
      </c>
      <c r="D218">
        <v>0.01</v>
      </c>
      <c r="E218">
        <v>0</v>
      </c>
      <c r="F218">
        <v>2</v>
      </c>
    </row>
    <row r="219" spans="1:6">
      <c r="A219">
        <v>72</v>
      </c>
      <c r="B219">
        <v>150</v>
      </c>
      <c r="C219">
        <v>0</v>
      </c>
      <c r="D219">
        <v>0.01</v>
      </c>
      <c r="E219">
        <v>0</v>
      </c>
      <c r="F219">
        <v>3</v>
      </c>
    </row>
    <row r="220" spans="1:6">
      <c r="A220">
        <v>73</v>
      </c>
      <c r="B220">
        <v>151</v>
      </c>
      <c r="C220">
        <v>0</v>
      </c>
      <c r="D220">
        <v>0.01</v>
      </c>
      <c r="E220">
        <v>0</v>
      </c>
      <c r="F220">
        <v>2</v>
      </c>
    </row>
    <row r="221" spans="1:6">
      <c r="A221">
        <v>74</v>
      </c>
      <c r="B221">
        <v>152</v>
      </c>
      <c r="C221">
        <v>0</v>
      </c>
      <c r="D221">
        <v>0.01</v>
      </c>
      <c r="E221">
        <v>0</v>
      </c>
      <c r="F221">
        <v>2</v>
      </c>
    </row>
    <row r="222" spans="1:6">
      <c r="A222">
        <v>76</v>
      </c>
      <c r="B222">
        <v>153</v>
      </c>
      <c r="C222">
        <v>0</v>
      </c>
      <c r="D222">
        <v>0.01</v>
      </c>
      <c r="E222">
        <v>0</v>
      </c>
      <c r="F222">
        <v>2</v>
      </c>
    </row>
    <row r="223" spans="1:6">
      <c r="A223">
        <v>77</v>
      </c>
      <c r="B223">
        <v>154</v>
      </c>
      <c r="C223">
        <v>0</v>
      </c>
      <c r="D223">
        <v>0.01</v>
      </c>
      <c r="E223">
        <v>0</v>
      </c>
      <c r="F223">
        <v>2</v>
      </c>
    </row>
    <row r="224" spans="1:6">
      <c r="A224">
        <v>80</v>
      </c>
      <c r="B224">
        <v>155</v>
      </c>
      <c r="C224">
        <v>0</v>
      </c>
      <c r="D224">
        <v>0.01</v>
      </c>
      <c r="E224">
        <v>0</v>
      </c>
      <c r="F224">
        <v>2</v>
      </c>
    </row>
    <row r="225" spans="1:6">
      <c r="A225">
        <v>85</v>
      </c>
      <c r="B225">
        <v>156</v>
      </c>
      <c r="C225">
        <v>0</v>
      </c>
      <c r="D225">
        <v>0.01</v>
      </c>
      <c r="E225">
        <v>0</v>
      </c>
      <c r="F225">
        <v>2</v>
      </c>
    </row>
    <row r="226" spans="1:6">
      <c r="A226">
        <v>87</v>
      </c>
      <c r="B226">
        <v>157</v>
      </c>
      <c r="C226">
        <v>0</v>
      </c>
      <c r="D226">
        <v>0.01</v>
      </c>
      <c r="E226">
        <v>0</v>
      </c>
      <c r="F226">
        <v>2</v>
      </c>
    </row>
    <row r="227" spans="1:6">
      <c r="A227">
        <v>89</v>
      </c>
      <c r="B227">
        <v>158</v>
      </c>
      <c r="C227">
        <v>0</v>
      </c>
      <c r="D227">
        <v>0.01</v>
      </c>
      <c r="E227">
        <v>0</v>
      </c>
      <c r="F227">
        <v>2</v>
      </c>
    </row>
    <row r="228" spans="1:6">
      <c r="A228">
        <v>90</v>
      </c>
      <c r="B228">
        <v>159</v>
      </c>
      <c r="C228">
        <v>0</v>
      </c>
      <c r="D228">
        <v>0.01</v>
      </c>
      <c r="E228">
        <v>0</v>
      </c>
      <c r="F228">
        <v>2</v>
      </c>
    </row>
    <row r="229" spans="1:6">
      <c r="A229">
        <v>91</v>
      </c>
      <c r="B229">
        <v>160</v>
      </c>
      <c r="C229">
        <v>0</v>
      </c>
      <c r="D229">
        <v>0.01</v>
      </c>
      <c r="E229">
        <v>0</v>
      </c>
      <c r="F229">
        <v>2</v>
      </c>
    </row>
    <row r="230" spans="1:6">
      <c r="A230">
        <v>92</v>
      </c>
      <c r="B230">
        <v>161</v>
      </c>
      <c r="C230">
        <v>0</v>
      </c>
      <c r="D230">
        <v>0.01</v>
      </c>
      <c r="E230">
        <v>0</v>
      </c>
      <c r="F230">
        <v>2</v>
      </c>
    </row>
    <row r="231" spans="1:6">
      <c r="A231">
        <v>99</v>
      </c>
      <c r="B231">
        <v>162</v>
      </c>
      <c r="C231">
        <v>0</v>
      </c>
      <c r="D231">
        <v>0.01</v>
      </c>
      <c r="E231">
        <v>0</v>
      </c>
      <c r="F231">
        <v>2</v>
      </c>
    </row>
    <row r="232" spans="1:6">
      <c r="A232">
        <v>100</v>
      </c>
      <c r="B232">
        <v>163</v>
      </c>
      <c r="C232">
        <v>0</v>
      </c>
      <c r="D232">
        <v>0.01</v>
      </c>
      <c r="E232">
        <v>0</v>
      </c>
      <c r="F232">
        <v>2</v>
      </c>
    </row>
    <row r="233" spans="1:6">
      <c r="A233">
        <v>103</v>
      </c>
      <c r="B233">
        <v>164</v>
      </c>
      <c r="C233">
        <v>0</v>
      </c>
      <c r="D233">
        <v>0.01</v>
      </c>
      <c r="E233">
        <v>0</v>
      </c>
      <c r="F233">
        <v>2</v>
      </c>
    </row>
    <row r="234" spans="1:6">
      <c r="A234">
        <v>104</v>
      </c>
      <c r="B234">
        <v>165</v>
      </c>
      <c r="C234">
        <v>0</v>
      </c>
      <c r="D234">
        <v>0.01</v>
      </c>
      <c r="E234">
        <v>0</v>
      </c>
      <c r="F234">
        <v>2</v>
      </c>
    </row>
    <row r="235" spans="1:6">
      <c r="A235">
        <v>105</v>
      </c>
      <c r="B235">
        <v>166</v>
      </c>
      <c r="C235">
        <v>0</v>
      </c>
      <c r="D235">
        <v>0.01</v>
      </c>
      <c r="E235">
        <v>0</v>
      </c>
      <c r="F235">
        <v>2</v>
      </c>
    </row>
    <row r="236" spans="1:6">
      <c r="A236">
        <v>107</v>
      </c>
      <c r="B236">
        <v>167</v>
      </c>
      <c r="C236">
        <v>0</v>
      </c>
      <c r="D236">
        <v>0.01</v>
      </c>
      <c r="E236">
        <v>0</v>
      </c>
      <c r="F236">
        <v>2</v>
      </c>
    </row>
    <row r="237" spans="1:6">
      <c r="A237">
        <v>110</v>
      </c>
      <c r="B237">
        <v>168</v>
      </c>
      <c r="C237">
        <v>0</v>
      </c>
      <c r="D237">
        <v>0.01</v>
      </c>
      <c r="E237">
        <v>0</v>
      </c>
      <c r="F237">
        <v>2</v>
      </c>
    </row>
    <row r="238" spans="1:6">
      <c r="A238">
        <v>111</v>
      </c>
      <c r="B238">
        <v>169</v>
      </c>
      <c r="C238">
        <v>0</v>
      </c>
      <c r="D238">
        <v>0.01</v>
      </c>
      <c r="E238">
        <v>0</v>
      </c>
      <c r="F238">
        <v>2</v>
      </c>
    </row>
    <row r="239" spans="1:6">
      <c r="A239">
        <v>112</v>
      </c>
      <c r="B239">
        <v>170</v>
      </c>
      <c r="C239">
        <v>0</v>
      </c>
      <c r="D239">
        <v>0.01</v>
      </c>
      <c r="E239">
        <v>0</v>
      </c>
      <c r="F239">
        <v>2</v>
      </c>
    </row>
    <row r="240" spans="1:6">
      <c r="A240">
        <v>113</v>
      </c>
      <c r="B240">
        <v>171</v>
      </c>
      <c r="C240">
        <v>0</v>
      </c>
      <c r="D240">
        <v>0.01</v>
      </c>
      <c r="E240">
        <v>0</v>
      </c>
      <c r="F240">
        <v>1</v>
      </c>
    </row>
    <row r="241" spans="1:6">
      <c r="A241">
        <v>116</v>
      </c>
      <c r="B241">
        <v>172</v>
      </c>
      <c r="C241">
        <v>0</v>
      </c>
      <c r="D241">
        <v>0.01</v>
      </c>
      <c r="E241">
        <v>0</v>
      </c>
      <c r="F241">
        <v>2</v>
      </c>
    </row>
  </sheetData>
  <phoneticPr fontId="5" type="noConversion"/>
  <conditionalFormatting sqref="A1:C1 F1">
    <cfRule type="expression" dxfId="1" priority="37">
      <formula>IF(XFA1=3,TRUE,FALSE)</formula>
    </cfRule>
  </conditionalFormatting>
  <conditionalFormatting sqref="D1:E1">
    <cfRule type="expression" dxfId="0" priority="1">
      <formula>IF(A1=3,TRUE,FALSE)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2B50-FB66-4816-9283-89361E3C05B8}">
  <dimension ref="A1:D12"/>
  <sheetViews>
    <sheetView showGridLines="0" workbookViewId="0">
      <selection activeCell="D41" sqref="D41"/>
    </sheetView>
  </sheetViews>
  <sheetFormatPr defaultRowHeight="14.25"/>
  <cols>
    <col min="1" max="1" width="4.125" bestFit="1" customWidth="1"/>
    <col min="2" max="2" width="11.625" bestFit="1" customWidth="1"/>
    <col min="4" max="4" width="87.5" customWidth="1"/>
  </cols>
  <sheetData>
    <row r="1" spans="1:4">
      <c r="A1" s="53" t="s">
        <v>28</v>
      </c>
      <c r="B1" s="53"/>
    </row>
    <row r="2" spans="1:4">
      <c r="A2" s="32">
        <v>10</v>
      </c>
      <c r="B2" s="31" t="s">
        <v>29</v>
      </c>
    </row>
    <row r="3" spans="1:4">
      <c r="A3" s="32">
        <v>11</v>
      </c>
      <c r="B3" s="31" t="s">
        <v>30</v>
      </c>
    </row>
    <row r="4" spans="1:4">
      <c r="A4" s="32">
        <v>12</v>
      </c>
      <c r="B4" s="31" t="s">
        <v>40</v>
      </c>
      <c r="D4" t="s">
        <v>44</v>
      </c>
    </row>
    <row r="5" spans="1:4">
      <c r="A5" s="32">
        <v>100</v>
      </c>
      <c r="B5" s="31" t="s">
        <v>31</v>
      </c>
    </row>
    <row r="6" spans="1:4">
      <c r="A6" s="32">
        <v>200</v>
      </c>
      <c r="B6" s="31" t="s">
        <v>32</v>
      </c>
    </row>
    <row r="7" spans="1:4">
      <c r="A7" s="33"/>
    </row>
    <row r="9" spans="1:4">
      <c r="A9" s="53" t="s">
        <v>38</v>
      </c>
      <c r="B9" s="53"/>
    </row>
    <row r="10" spans="1:4">
      <c r="A10" s="32">
        <v>1</v>
      </c>
      <c r="B10" s="31" t="s">
        <v>37</v>
      </c>
    </row>
    <row r="11" spans="1:4">
      <c r="A11" s="32">
        <v>2</v>
      </c>
      <c r="B11" s="31" t="s">
        <v>36</v>
      </c>
    </row>
    <row r="12" spans="1:4">
      <c r="A12" s="32">
        <v>3</v>
      </c>
      <c r="B12" s="31" t="s">
        <v>35</v>
      </c>
      <c r="D12" t="s">
        <v>39</v>
      </c>
    </row>
  </sheetData>
  <mergeCells count="2">
    <mergeCell ref="A1:B1"/>
    <mergeCell ref="A9:B9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system_data</vt:lpstr>
      <vt:lpstr>branch_data</vt:lpstr>
      <vt:lpstr>Bus &amp; Device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Javaid, Muhammad Sharjeel</dc:creator>
  <cp:lastModifiedBy>Ge, Pudong</cp:lastModifiedBy>
  <dcterms:created xsi:type="dcterms:W3CDTF">2015-06-05T18:17:20Z</dcterms:created>
  <dcterms:modified xsi:type="dcterms:W3CDTF">2026-03-13T18:06:01Z</dcterms:modified>
</cp:coreProperties>
</file>